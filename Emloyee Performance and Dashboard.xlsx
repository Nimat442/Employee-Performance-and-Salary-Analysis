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350" windowHeight="8880" firstSheet="1" activeTab="3"/>
  </bookViews>
  <sheets>
    <sheet name="Employee_Records" sheetId="1" r:id="rId1"/>
    <sheet name="PIVOT" sheetId="6" r:id="rId2"/>
    <sheet name="W Employee_Record" sheetId="3" r:id="rId3"/>
    <sheet name="DASHBOARD" sheetId="7" r:id="rId4"/>
    <sheet name="Salary_Structure" sheetId="2" r:id="rId5"/>
    <sheet name="W Salary_Structure" sheetId="4" r:id="rId6"/>
  </sheets>
  <definedNames>
    <definedName name="Slicer_Department">#N/A</definedName>
    <definedName name="Slicer_Job_Role">#N/A</definedName>
    <definedName name="Slicer_Employee_Nam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<sst xmlns="http://schemas.openxmlformats.org/spreadsheetml/2006/main" count="298" uniqueCount="63">
  <si>
    <t>Employee_ID</t>
  </si>
  <si>
    <t>Employee_Name</t>
  </si>
  <si>
    <t>Department</t>
  </si>
  <si>
    <t>Job_Role</t>
  </si>
  <si>
    <t>Performance_Score</t>
  </si>
  <si>
    <t>Bonus (%)</t>
  </si>
  <si>
    <t>John Doe</t>
  </si>
  <si>
    <t>IT</t>
  </si>
  <si>
    <t>Developer</t>
  </si>
  <si>
    <t>5%</t>
  </si>
  <si>
    <t>Mary Jane</t>
  </si>
  <si>
    <t>HR</t>
  </si>
  <si>
    <t>HR Officer</t>
  </si>
  <si>
    <t>4%</t>
  </si>
  <si>
    <t>Ali Musa</t>
  </si>
  <si>
    <t>IT Support</t>
  </si>
  <si>
    <t>3%</t>
  </si>
  <si>
    <t>Grace Ade</t>
  </si>
  <si>
    <t>Peter Obi</t>
  </si>
  <si>
    <t>Sales</t>
  </si>
  <si>
    <t>Sales Exec</t>
  </si>
  <si>
    <t>Fatima Bello</t>
  </si>
  <si>
    <t>Finance</t>
  </si>
  <si>
    <t>Accountant</t>
  </si>
  <si>
    <t>Chidi Okafor</t>
  </si>
  <si>
    <t>7%</t>
  </si>
  <si>
    <t>Aisha Ahmed</t>
  </si>
  <si>
    <t>6%</t>
  </si>
  <si>
    <t>James Brown</t>
  </si>
  <si>
    <t>Ngozi Eze</t>
  </si>
  <si>
    <t>Emeka Uche</t>
  </si>
  <si>
    <t>Zainab Umar</t>
  </si>
  <si>
    <t>David Mark</t>
  </si>
  <si>
    <t>Ruth John</t>
  </si>
  <si>
    <t>Suleiman Ali</t>
  </si>
  <si>
    <t>Esther Paul</t>
  </si>
  <si>
    <t>Ibrahim Sani</t>
  </si>
  <si>
    <t>Joy Okeke</t>
  </si>
  <si>
    <t>Samuel Peters</t>
  </si>
  <si>
    <t>Helen Adams</t>
  </si>
  <si>
    <t>Row Labels</t>
  </si>
  <si>
    <t>Sum of Bonus (%)</t>
  </si>
  <si>
    <t>Average of Final Salary</t>
  </si>
  <si>
    <t>Grand Total</t>
  </si>
  <si>
    <t>Count of Employee_Name</t>
  </si>
  <si>
    <t>Average</t>
  </si>
  <si>
    <t>Excllent</t>
  </si>
  <si>
    <t>Good</t>
  </si>
  <si>
    <t>Poor</t>
  </si>
  <si>
    <t>Sum of Final Salary</t>
  </si>
  <si>
    <t>Sum of Final Salary + Allowance</t>
  </si>
  <si>
    <t>employee’s Base_Salary</t>
  </si>
  <si>
    <t>Performance_Category</t>
  </si>
  <si>
    <t>Base salary  + Bonus</t>
  </si>
  <si>
    <t>Final Salary</t>
  </si>
  <si>
    <t>Final Salary + Allowance</t>
  </si>
  <si>
    <t>With R Refrencing</t>
  </si>
  <si>
    <t>SUMMARY</t>
  </si>
  <si>
    <t>Sum of Employee</t>
  </si>
  <si>
    <t>Sum of salary</t>
  </si>
  <si>
    <t>Base_Salary</t>
  </si>
  <si>
    <t xml:space="preserve">  </t>
  </si>
  <si>
    <t>EMPLOYEE PERFORMANCE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</si>
</sst>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_(* #,##0_);_(* \(#,##0\);_(* &quot;-&quot;??_);_(@_)"/>
  </numFmts>
  <fonts count="28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22"/>
      <color theme="0"/>
      <name val="Algerian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178" fontId="0" fillId="0" borderId="1" xfId="2" applyNumberFormat="1" applyFont="1" applyBorder="1"/>
    <xf numFmtId="17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/>
    <xf numFmtId="0" fontId="0" fillId="0" borderId="1" xfId="0" applyBorder="1" applyAlignment="1">
      <alignment horizontal="left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2" xfId="0" applyFont="1" applyFill="1" applyBorder="1"/>
    <xf numFmtId="0" fontId="0" fillId="0" borderId="0" xfId="0" applyAlignment="1">
      <alignment horizontal="left"/>
    </xf>
    <xf numFmtId="178" fontId="0" fillId="0" borderId="0" xfId="0" applyNumberFormat="1"/>
    <xf numFmtId="178" fontId="0" fillId="0" borderId="0" xfId="2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Average</a:t>
            </a:r>
            <a:r>
              <a:rPr lang="en-US" b="1" baseline="0">
                <a:solidFill>
                  <a:srgbClr val="C00000"/>
                </a:solidFill>
              </a:rPr>
              <a:t> Salary Per Department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HR</c:v>
                </c:pt>
                <c:pt idx="1">
                  <c:v>Sales</c:v>
                </c:pt>
                <c:pt idx="2">
                  <c:v>IT</c:v>
                </c:pt>
                <c:pt idx="3">
                  <c:v>Finance</c:v>
                </c:pt>
              </c:strCache>
            </c:strRef>
          </c:cat>
          <c:val>
            <c:numRef>
              <c:f>PIVOT!$B$4:$B$8</c:f>
              <c:numCache>
                <c:formatCode>_("$"* #,##0_);_("$"* \(#,##0\);_("$"* "-"??_);_(@_)</c:formatCode>
                <c:ptCount val="4"/>
                <c:pt idx="0">
                  <c:v>113806</c:v>
                </c:pt>
                <c:pt idx="1">
                  <c:v>124191</c:v>
                </c:pt>
                <c:pt idx="2">
                  <c:v>131605.833333333</c:v>
                </c:pt>
                <c:pt idx="3">
                  <c:v>146244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4057407"/>
        <c:axId val="1524058655"/>
      </c:barChart>
      <c:catAx>
        <c:axId val="15240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8655"/>
        <c:crosses val="autoZero"/>
        <c:auto val="1"/>
        <c:lblAlgn val="ctr"/>
        <c:lblOffset val="100"/>
        <c:noMultiLvlLbl val="0"/>
      </c:catAx>
      <c:valAx>
        <c:axId val="1524058655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861cea-4c7d-4267-befa-dff95d8d45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Count</a:t>
            </a:r>
            <a:r>
              <a:rPr lang="en-US" b="1" baseline="0">
                <a:solidFill>
                  <a:srgbClr val="C00000"/>
                </a:solidFill>
              </a:rPr>
              <a:t> Of Employee / P Category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86583333333333"/>
          <c:y val="0.128608923884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PIVOT!$A$16:$A$20</c:f>
              <c:strCache>
                <c:ptCount val="4"/>
                <c:pt idx="0">
                  <c:v>Average</c:v>
                </c:pt>
                <c:pt idx="1">
                  <c:v>Excllent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PIVOT!$B$16:$B$20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342995169082"/>
          <c:y val="0.3730811824562"/>
          <c:w val="0.266554880146887"/>
          <c:h val="0.493882065373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d56c53-40a0-4d78-982b-01108f19b8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{"Aisha Ahmed","Ali Musa","Emeka Uche"}</c:f>
              <c:strCache>
                <c:ptCount val="3"/>
                <c:pt idx="0">
                  <c:v>Aisha Ahmed</c:v>
                </c:pt>
                <c:pt idx="1">
                  <c:v>Ali Musa</c:v>
                </c:pt>
                <c:pt idx="2">
                  <c:v>Emeka Uche</c:v>
                </c:pt>
              </c:strCache>
            </c:strRef>
          </c:cat>
          <c:val>
            <c:numRef>
              <c:f>{1,1,1}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6531615"/>
        <c:axId val="1516532863"/>
      </c:barChart>
      <c:catAx>
        <c:axId val="151653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6532863"/>
        <c:crosses val="autoZero"/>
        <c:auto val="1"/>
        <c:lblAlgn val="ctr"/>
        <c:lblOffset val="100"/>
        <c:noMultiLvlLbl val="0"/>
      </c:catAx>
      <c:valAx>
        <c:axId val="151653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653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c3f8ba-f927-4bfa-a353-cecd7f3884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Salary</a:t>
            </a:r>
            <a:r>
              <a:rPr lang="en-US" b="1" baseline="0">
                <a:solidFill>
                  <a:srgbClr val="C00000"/>
                </a:solidFill>
              </a:rPr>
              <a:t> Insight Per Department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3909667541557"/>
          <c:y val="0.1147200349956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PIVOT!$B$32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PIVOT!$A$33:$A$37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PIVOT!$B$33:$B$37</c:f>
              <c:numCache>
                <c:formatCode>_("$"* #,##0_);_("$"* \(#,##0\);_("$"* "-"??_);_(@_)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4050015"/>
        <c:axId val="1524048767"/>
      </c:barChart>
      <c:catAx>
        <c:axId val="152405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48767"/>
        <c:crosses val="autoZero"/>
        <c:auto val="1"/>
        <c:lblAlgn val="ctr"/>
        <c:lblOffset val="100"/>
        <c:noMultiLvlLbl val="0"/>
      </c:catAx>
      <c:valAx>
        <c:axId val="152404876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e3dcb-1182-491a-97c0-b8149e35b4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Performance Category Distribution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PIVOT!$B$43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PIVOT!$A$44:$A$48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PIVOT!$B$44:$B$48</c:f>
              <c:numCache>
                <c:formatCode>General</c:formatCode>
                <c:ptCount val="4"/>
                <c:pt idx="0">
                  <c:v>480886</c:v>
                </c:pt>
                <c:pt idx="1">
                  <c:v>515721</c:v>
                </c:pt>
                <c:pt idx="2">
                  <c:v>710100</c:v>
                </c:pt>
                <c:pt idx="3">
                  <c:v>782628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7c1df1-9b5a-4ef7-b0a5-1a66e7f141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Employee &amp; Percentages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PIVOT!$B$51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PIVOT!$A$52:$A$72</c:f>
              <c:strCache>
                <c:ptCount val="20"/>
                <c:pt idx="0">
                  <c:v>Ali Musa</c:v>
                </c:pt>
                <c:pt idx="1">
                  <c:v>Emeka Uche</c:v>
                </c:pt>
                <c:pt idx="2">
                  <c:v>Esther Paul</c:v>
                </c:pt>
                <c:pt idx="3">
                  <c:v>Grace Ade</c:v>
                </c:pt>
                <c:pt idx="4">
                  <c:v>James Brown</c:v>
                </c:pt>
                <c:pt idx="5">
                  <c:v>Peter Obi</c:v>
                </c:pt>
                <c:pt idx="6">
                  <c:v>Samuel Peters</c:v>
                </c:pt>
                <c:pt idx="7">
                  <c:v>Fatima Bello</c:v>
                </c:pt>
                <c:pt idx="8">
                  <c:v>Mary Jane</c:v>
                </c:pt>
                <c:pt idx="9">
                  <c:v>Zainab Umar</c:v>
                </c:pt>
                <c:pt idx="10">
                  <c:v>Helen Adams</c:v>
                </c:pt>
                <c:pt idx="11">
                  <c:v>John Doe</c:v>
                </c:pt>
                <c:pt idx="12">
                  <c:v>Ruth John</c:v>
                </c:pt>
                <c:pt idx="13">
                  <c:v>Aisha Ahmed</c:v>
                </c:pt>
                <c:pt idx="14">
                  <c:v>David Mark</c:v>
                </c:pt>
                <c:pt idx="15">
                  <c:v>Ibrahim Sani</c:v>
                </c:pt>
                <c:pt idx="16">
                  <c:v>Joy Okeke</c:v>
                </c:pt>
                <c:pt idx="17">
                  <c:v>Ngozi Eze</c:v>
                </c:pt>
                <c:pt idx="18">
                  <c:v>Suleiman Ali</c:v>
                </c:pt>
                <c:pt idx="19">
                  <c:v>Chidi Okafor</c:v>
                </c:pt>
              </c:strCache>
            </c:strRef>
          </c:cat>
          <c:val>
            <c:numRef>
              <c:f>PIVOT!$B$52:$B$72</c:f>
              <c:numCache>
                <c:formatCode>General</c:formatCode>
                <c:ptCount val="2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ddb5c4-8ade-4dbe-ab71-cee9aaed68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Department</a:t>
            </a:r>
            <a:r>
              <a:rPr lang="en-US" b="1" baseline="0">
                <a:solidFill>
                  <a:srgbClr val="C00000"/>
                </a:solidFill>
              </a:rPr>
              <a:t> Salary Distribution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1944444444444"/>
          <c:y val="0.12397929425488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27639089477602"/>
          <c:y val="0.290722284315357"/>
          <c:w val="0.733420922652315"/>
          <c:h val="0.640398141461373"/>
        </c:manualLayout>
      </c:layout>
      <c:pie3DChart>
        <c:varyColors val="1"/>
        <c:ser>
          <c:idx val="0"/>
          <c:order val="0"/>
          <c:tx>
            <c:strRef>
              <c:f>PIVOT!$E$51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PIVOT!$D$52:$D$56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PIVOT!$E$52:$E$56</c:f>
              <c:numCache>
                <c:formatCode>General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b7476a-01f8-42a4-ab49-f74135055a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Employee</a:t>
            </a:r>
            <a:r>
              <a:rPr lang="en-US" b="1" baseline="0">
                <a:solidFill>
                  <a:srgbClr val="C00000"/>
                </a:solidFill>
              </a:rPr>
              <a:t> &amp; P.Cat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PIVOT!$D$58:$D$62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PIVOT!$E$58:$E$62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04573775"/>
        <c:axId val="804580015"/>
      </c:barChart>
      <c:catAx>
        <c:axId val="804573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580015"/>
        <c:crosses val="autoZero"/>
        <c:auto val="1"/>
        <c:lblAlgn val="ctr"/>
        <c:lblOffset val="100"/>
        <c:noMultiLvlLbl val="0"/>
      </c:catAx>
      <c:valAx>
        <c:axId val="804580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57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a995f9-1eac-43fa-b935-da9af5b96a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Average</a:t>
            </a:r>
            <a:r>
              <a:rPr lang="en-US" b="1" baseline="0">
                <a:solidFill>
                  <a:srgbClr val="C00000"/>
                </a:solidFill>
              </a:rPr>
              <a:t> Salary Per Department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HR</c:v>
                </c:pt>
                <c:pt idx="1">
                  <c:v>Sales</c:v>
                </c:pt>
                <c:pt idx="2">
                  <c:v>IT</c:v>
                </c:pt>
                <c:pt idx="3">
                  <c:v>Finance</c:v>
                </c:pt>
              </c:strCache>
            </c:strRef>
          </c:cat>
          <c:val>
            <c:numRef>
              <c:f>PIVOT!$B$4:$B$8</c:f>
              <c:numCache>
                <c:formatCode>_("$"* #,##0_);_("$"* \(#,##0\);_("$"* "-"??_);_(@_)</c:formatCode>
                <c:ptCount val="4"/>
                <c:pt idx="0">
                  <c:v>113806</c:v>
                </c:pt>
                <c:pt idx="1">
                  <c:v>124191</c:v>
                </c:pt>
                <c:pt idx="2">
                  <c:v>131605.833333333</c:v>
                </c:pt>
                <c:pt idx="3">
                  <c:v>146244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4057407"/>
        <c:axId val="1524058655"/>
      </c:barChart>
      <c:catAx>
        <c:axId val="15240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8655"/>
        <c:crosses val="autoZero"/>
        <c:auto val="1"/>
        <c:lblAlgn val="ctr"/>
        <c:lblOffset val="100"/>
        <c:noMultiLvlLbl val="0"/>
      </c:catAx>
      <c:valAx>
        <c:axId val="1524058655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fd571c-3a08-40f1-8c2c-11eed6da1a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Performance</a:t>
            </a:r>
            <a:r>
              <a:rPr lang="en-US" b="1" baseline="0">
                <a:solidFill>
                  <a:srgbClr val="C00000"/>
                </a:solidFill>
              </a:rPr>
              <a:t> Cat. vs No. Of Employee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4460821434704"/>
          <c:y val="0.156239560963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"Series1"</c:f>
              <c:strCache>
                <c:ptCount val="1"/>
                <c:pt idx="0">
                  <c:v>Series1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{"1","2","3"}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{1,1,1}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6531615"/>
        <c:axId val="1516532863"/>
      </c:barChart>
      <c:catAx>
        <c:axId val="151653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6532863"/>
        <c:crosses val="autoZero"/>
        <c:auto val="1"/>
        <c:lblAlgn val="ctr"/>
        <c:lblOffset val="100"/>
        <c:noMultiLvlLbl val="0"/>
      </c:catAx>
      <c:valAx>
        <c:axId val="151653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653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e21a70-0222-4f81-9f7e-edf2b22a09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Count</a:t>
            </a:r>
            <a:r>
              <a:rPr lang="en-US" b="1" baseline="0">
                <a:solidFill>
                  <a:srgbClr val="C00000"/>
                </a:solidFill>
              </a:rPr>
              <a:t> Of Employee / P Category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86583333333333"/>
          <c:y val="0.1286089238845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PIVOT!$A$16:$A$20</c:f>
              <c:strCache>
                <c:ptCount val="4"/>
                <c:pt idx="0">
                  <c:v>Average</c:v>
                </c:pt>
                <c:pt idx="1">
                  <c:v>Excllent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PIVOT!$B$16:$B$20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342995169082"/>
          <c:y val="0.3730811824562"/>
          <c:w val="0.333333333333333"/>
          <c:h val="0.493882065373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a49213-6d6b-40ff-bac6-4930314080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Salary</a:t>
            </a:r>
            <a:r>
              <a:rPr lang="en-US" b="1" baseline="0">
                <a:solidFill>
                  <a:srgbClr val="C00000"/>
                </a:solidFill>
              </a:rPr>
              <a:t> Insight Per Department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3909667541557"/>
          <c:y val="0.1147200349956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PIVOT!$B$32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PIVOT!$A$33:$A$37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PIVOT!$B$33:$B$37</c:f>
              <c:numCache>
                <c:formatCode>_("$"* #,##0_);_("$"* \(#,##0\);_("$"* "-"??_);_(@_)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4050015"/>
        <c:axId val="1524048767"/>
      </c:barChart>
      <c:catAx>
        <c:axId val="152405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48767"/>
        <c:crosses val="autoZero"/>
        <c:auto val="1"/>
        <c:lblAlgn val="ctr"/>
        <c:lblOffset val="100"/>
        <c:noMultiLvlLbl val="0"/>
      </c:catAx>
      <c:valAx>
        <c:axId val="152404876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17b0c5-84e3-4bed-81cc-1a8d0412ed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Performance Category Distribution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PIVOT!$B$43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PIVOT!$A$44:$A$48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PIVOT!$B$44:$B$48</c:f>
              <c:numCache>
                <c:formatCode>General</c:formatCode>
                <c:ptCount val="4"/>
                <c:pt idx="0">
                  <c:v>480886</c:v>
                </c:pt>
                <c:pt idx="1">
                  <c:v>515721</c:v>
                </c:pt>
                <c:pt idx="2">
                  <c:v>710100</c:v>
                </c:pt>
                <c:pt idx="3">
                  <c:v>782628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3f2ab7-b353-4634-bc55-66d0e0078c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Employee &amp; Percentages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PIVOT!$B$51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PIVOT!$A$52:$A$72</c:f>
              <c:strCache>
                <c:ptCount val="20"/>
                <c:pt idx="0">
                  <c:v>Ali Musa</c:v>
                </c:pt>
                <c:pt idx="1">
                  <c:v>Emeka Uche</c:v>
                </c:pt>
                <c:pt idx="2">
                  <c:v>Esther Paul</c:v>
                </c:pt>
                <c:pt idx="3">
                  <c:v>Grace Ade</c:v>
                </c:pt>
                <c:pt idx="4">
                  <c:v>James Brown</c:v>
                </c:pt>
                <c:pt idx="5">
                  <c:v>Peter Obi</c:v>
                </c:pt>
                <c:pt idx="6">
                  <c:v>Samuel Peters</c:v>
                </c:pt>
                <c:pt idx="7">
                  <c:v>Fatima Bello</c:v>
                </c:pt>
                <c:pt idx="8">
                  <c:v>Mary Jane</c:v>
                </c:pt>
                <c:pt idx="9">
                  <c:v>Zainab Umar</c:v>
                </c:pt>
                <c:pt idx="10">
                  <c:v>Helen Adams</c:v>
                </c:pt>
                <c:pt idx="11">
                  <c:v>John Doe</c:v>
                </c:pt>
                <c:pt idx="12">
                  <c:v>Ruth John</c:v>
                </c:pt>
                <c:pt idx="13">
                  <c:v>Aisha Ahmed</c:v>
                </c:pt>
                <c:pt idx="14">
                  <c:v>David Mark</c:v>
                </c:pt>
                <c:pt idx="15">
                  <c:v>Ibrahim Sani</c:v>
                </c:pt>
                <c:pt idx="16">
                  <c:v>Joy Okeke</c:v>
                </c:pt>
                <c:pt idx="17">
                  <c:v>Ngozi Eze</c:v>
                </c:pt>
                <c:pt idx="18">
                  <c:v>Suleiman Ali</c:v>
                </c:pt>
                <c:pt idx="19">
                  <c:v>Chidi Okafor</c:v>
                </c:pt>
              </c:strCache>
            </c:strRef>
          </c:cat>
          <c:val>
            <c:numRef>
              <c:f>PIVOT!$B$52:$B$72</c:f>
              <c:numCache>
                <c:formatCode>General</c:formatCode>
                <c:ptCount val="2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f9d20e-e373-4d46-a299-cb8718bcda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Department</a:t>
            </a:r>
            <a:r>
              <a:rPr lang="en-US" b="1" baseline="0">
                <a:solidFill>
                  <a:srgbClr val="C00000"/>
                </a:solidFill>
              </a:rPr>
              <a:t> Salary Distribution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1944444444444"/>
          <c:y val="0.12397929425488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PIVOT!$E$51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PIVOT!$D$52:$D$56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PIVOT!$E$52:$E$56</c:f>
              <c:numCache>
                <c:formatCode>General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d5051d-5a7e-4381-9b51-4ec9871d31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Performance Category Distribution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PIVOT!$B$43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PIVOT!$A$44:$A$48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PIVOT!$B$44:$B$48</c:f>
              <c:numCache>
                <c:formatCode>General</c:formatCode>
                <c:ptCount val="4"/>
                <c:pt idx="0">
                  <c:v>480886</c:v>
                </c:pt>
                <c:pt idx="1">
                  <c:v>515721</c:v>
                </c:pt>
                <c:pt idx="2">
                  <c:v>710100</c:v>
                </c:pt>
                <c:pt idx="3">
                  <c:v>782628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89f27c-2185-475a-90ac-e9499f2c70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Department</a:t>
            </a:r>
            <a:r>
              <a:rPr lang="en-US" b="1" baseline="0">
                <a:solidFill>
                  <a:srgbClr val="C00000"/>
                </a:solidFill>
              </a:rPr>
              <a:t> Salary Distribution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1944444444444"/>
          <c:y val="0.12397929425488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27639089477602"/>
          <c:y val="0.290722284315357"/>
          <c:w val="0.733420922652315"/>
          <c:h val="0.640398141461373"/>
        </c:manualLayout>
      </c:layout>
      <c:pie3DChart>
        <c:varyColors val="1"/>
        <c:ser>
          <c:idx val="0"/>
          <c:order val="0"/>
          <c:tx>
            <c:strRef>
              <c:f>PIVOT!$E$51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PIVOT!$D$52:$D$56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PIVOT!$E$52:$E$56</c:f>
              <c:numCache>
                <c:formatCode>General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6b33e8-4169-4a88-b518-3901d4f14c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Salary</a:t>
            </a:r>
            <a:r>
              <a:rPr lang="en-US" b="1" baseline="0">
                <a:solidFill>
                  <a:srgbClr val="C00000"/>
                </a:solidFill>
              </a:rPr>
              <a:t> Insight Per Department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63909667541557"/>
          <c:y val="0.1147200349956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PIVOT!$B$32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PIVOT!$A$33:$A$37</c:f>
              <c:strCache>
                <c:ptCount val="4"/>
                <c:pt idx="0">
                  <c:v>Finance</c:v>
                </c:pt>
                <c:pt idx="1">
                  <c:v>Sales</c:v>
                </c:pt>
                <c:pt idx="2">
                  <c:v>IT</c:v>
                </c:pt>
                <c:pt idx="3">
                  <c:v>HR</c:v>
                </c:pt>
              </c:strCache>
            </c:strRef>
          </c:cat>
          <c:val>
            <c:numRef>
              <c:f>PIVOT!$B$33:$B$37</c:f>
              <c:numCache>
                <c:formatCode>_("$"* #,##0_);_("$"* \(#,##0\);_("$"* "-"??_);_(@_)</c:formatCode>
                <c:ptCount val="4"/>
                <c:pt idx="0">
                  <c:v>292488</c:v>
                </c:pt>
                <c:pt idx="1">
                  <c:v>496764</c:v>
                </c:pt>
                <c:pt idx="2">
                  <c:v>789635</c:v>
                </c:pt>
                <c:pt idx="3">
                  <c:v>910448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4050015"/>
        <c:axId val="1524048767"/>
      </c:barChart>
      <c:catAx>
        <c:axId val="152405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48767"/>
        <c:crosses val="autoZero"/>
        <c:auto val="1"/>
        <c:lblAlgn val="ctr"/>
        <c:lblOffset val="100"/>
        <c:noMultiLvlLbl val="0"/>
      </c:catAx>
      <c:valAx>
        <c:axId val="152404876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ca49f4-6927-442e-8dbd-3500c57b60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Employee</a:t>
            </a:r>
            <a:r>
              <a:rPr lang="en-US" b="1" baseline="0">
                <a:solidFill>
                  <a:srgbClr val="C00000"/>
                </a:solidFill>
              </a:rPr>
              <a:t> &amp; P.Cat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PIVOT!$E$57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PIVOT!$D$58:$D$62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PIVOT!$E$58:$E$62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c36093-103a-4f95-9548-f56ad75582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Employee</a:t>
            </a:r>
            <a:r>
              <a:rPr lang="en-US" b="1" baseline="0">
                <a:solidFill>
                  <a:srgbClr val="C00000"/>
                </a:solidFill>
              </a:rPr>
              <a:t> &amp; P.Cat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PIVOT!$D$58:$D$62</c:f>
              <c:strCache>
                <c:ptCount val="4"/>
                <c:pt idx="0">
                  <c:v>Excllent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PIVOT!$E$58:$E$62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04573775"/>
        <c:axId val="804580015"/>
      </c:barChart>
      <c:catAx>
        <c:axId val="804573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580015"/>
        <c:crosses val="autoZero"/>
        <c:auto val="1"/>
        <c:lblAlgn val="ctr"/>
        <c:lblOffset val="100"/>
        <c:noMultiLvlLbl val="0"/>
      </c:catAx>
      <c:valAx>
        <c:axId val="804580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57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35d63a-9ff8-48ed-a384-e52ae71b4c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[Emloyee Performance and Dashboard.xlsx]PIVOT!PivotTable2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Average</a:t>
            </a:r>
            <a:r>
              <a:rPr lang="en-US" b="1" baseline="0">
                <a:solidFill>
                  <a:srgbClr val="C00000"/>
                </a:solidFill>
              </a:rPr>
              <a:t> Salary Per Department</a:t>
            </a:r>
            <a:endParaRPr lang="en-US" b="1">
              <a:solidFill>
                <a:srgbClr val="C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716105506331"/>
          <c:y val="0.284465539461239"/>
          <c:w val="0.71835413705579"/>
          <c:h val="0.4823516108581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HR</c:v>
                </c:pt>
                <c:pt idx="1">
                  <c:v>Sales</c:v>
                </c:pt>
                <c:pt idx="2">
                  <c:v>IT</c:v>
                </c:pt>
                <c:pt idx="3">
                  <c:v>Finance</c:v>
                </c:pt>
              </c:strCache>
            </c:strRef>
          </c:cat>
          <c:val>
            <c:numRef>
              <c:f>PIVOT!$B$4:$B$8</c:f>
              <c:numCache>
                <c:formatCode>_("$"* #,##0_);_("$"* \(#,##0\);_("$"* "-"??_);_(@_)</c:formatCode>
                <c:ptCount val="4"/>
                <c:pt idx="0">
                  <c:v>113806</c:v>
                </c:pt>
                <c:pt idx="1">
                  <c:v>124191</c:v>
                </c:pt>
                <c:pt idx="2">
                  <c:v>131605.833333333</c:v>
                </c:pt>
                <c:pt idx="3">
                  <c:v>146244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4057407"/>
        <c:axId val="1524058655"/>
      </c:barChart>
      <c:catAx>
        <c:axId val="15240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8655"/>
        <c:crosses val="autoZero"/>
        <c:auto val="1"/>
        <c:lblAlgn val="ctr"/>
        <c:lblOffset val="100"/>
        <c:noMultiLvlLbl val="0"/>
      </c:catAx>
      <c:valAx>
        <c:axId val="1524058655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40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837361-50d1-4cac-93b6-51fdbb856a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371475</xdr:colOff>
      <xdr:row>0</xdr:row>
      <xdr:rowOff>180975</xdr:rowOff>
    </xdr:from>
    <xdr:to>
      <xdr:col>9</xdr:col>
      <xdr:colOff>133350</xdr:colOff>
      <xdr:row>11</xdr:row>
      <xdr:rowOff>166687</xdr:rowOff>
    </xdr:to>
    <xdr:graphicFrame>
      <xdr:nvGraphicFramePr>
        <xdr:cNvPr id="2" name="Chart 1"/>
        <xdr:cNvGraphicFramePr/>
      </xdr:nvGraphicFramePr>
      <xdr:xfrm>
        <a:off x="2552700" y="180975"/>
        <a:ext cx="6457950" cy="2080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372620</xdr:colOff>
      <xdr:row>19</xdr:row>
      <xdr:rowOff>65773</xdr:rowOff>
    </xdr:from>
    <xdr:to>
      <xdr:col>9</xdr:col>
      <xdr:colOff>29720</xdr:colOff>
      <xdr:row>30</xdr:row>
      <xdr:rowOff>79645</xdr:rowOff>
    </xdr:to>
    <xdr:graphicFrame>
      <xdr:nvGraphicFramePr>
        <xdr:cNvPr id="4" name="Chart 3"/>
        <xdr:cNvGraphicFramePr/>
      </xdr:nvGraphicFramePr>
      <xdr:xfrm>
        <a:off x="2553335" y="3684905"/>
        <a:ext cx="6353175" cy="210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374224</xdr:colOff>
      <xdr:row>0</xdr:row>
      <xdr:rowOff>176946</xdr:rowOff>
    </xdr:from>
    <xdr:to>
      <xdr:col>16</xdr:col>
      <xdr:colOff>59485</xdr:colOff>
      <xdr:row>12</xdr:row>
      <xdr:rowOff>82524</xdr:rowOff>
    </xdr:to>
    <xdr:graphicFrame>
      <xdr:nvGraphicFramePr>
        <xdr:cNvPr id="5" name="Chart 4"/>
        <xdr:cNvGraphicFramePr/>
      </xdr:nvGraphicFramePr>
      <xdr:xfrm>
        <a:off x="9251315" y="176530"/>
        <a:ext cx="4752340" cy="2191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377411</xdr:colOff>
      <xdr:row>13</xdr:row>
      <xdr:rowOff>51955</xdr:rowOff>
    </xdr:from>
    <xdr:to>
      <xdr:col>16</xdr:col>
      <xdr:colOff>121226</xdr:colOff>
      <xdr:row>25</xdr:row>
      <xdr:rowOff>176512</xdr:rowOff>
    </xdr:to>
    <xdr:graphicFrame>
      <xdr:nvGraphicFramePr>
        <xdr:cNvPr id="6" name="Chart 5"/>
        <xdr:cNvGraphicFramePr/>
      </xdr:nvGraphicFramePr>
      <xdr:xfrm>
        <a:off x="9254490" y="2527935"/>
        <a:ext cx="4810760" cy="2410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282695</xdr:colOff>
      <xdr:row>13</xdr:row>
      <xdr:rowOff>34636</xdr:rowOff>
    </xdr:from>
    <xdr:to>
      <xdr:col>23</xdr:col>
      <xdr:colOff>103910</xdr:colOff>
      <xdr:row>25</xdr:row>
      <xdr:rowOff>92600</xdr:rowOff>
    </xdr:to>
    <xdr:graphicFrame>
      <xdr:nvGraphicFramePr>
        <xdr:cNvPr id="7" name="Chart 6"/>
        <xdr:cNvGraphicFramePr/>
      </xdr:nvGraphicFramePr>
      <xdr:xfrm>
        <a:off x="14227175" y="2510790"/>
        <a:ext cx="4021455" cy="2343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207818</xdr:colOff>
      <xdr:row>0</xdr:row>
      <xdr:rowOff>121227</xdr:rowOff>
    </xdr:from>
    <xdr:to>
      <xdr:col>23</xdr:col>
      <xdr:colOff>374196</xdr:colOff>
      <xdr:row>12</xdr:row>
      <xdr:rowOff>51954</xdr:rowOff>
    </xdr:to>
    <xdr:graphicFrame>
      <xdr:nvGraphicFramePr>
        <xdr:cNvPr id="8" name="Chart 7"/>
        <xdr:cNvGraphicFramePr/>
      </xdr:nvGraphicFramePr>
      <xdr:xfrm>
        <a:off x="14152245" y="120650"/>
        <a:ext cx="4366895" cy="2216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532278</xdr:colOff>
      <xdr:row>5</xdr:row>
      <xdr:rowOff>156881</xdr:rowOff>
    </xdr:from>
    <xdr:to>
      <xdr:col>30</xdr:col>
      <xdr:colOff>560293</xdr:colOff>
      <xdr:row>18</xdr:row>
      <xdr:rowOff>77318</xdr:rowOff>
    </xdr:to>
    <xdr:graphicFrame>
      <xdr:nvGraphicFramePr>
        <xdr:cNvPr id="9" name="Chart 8"/>
        <xdr:cNvGraphicFramePr/>
      </xdr:nvGraphicFramePr>
      <xdr:xfrm>
        <a:off x="18677255" y="1109345"/>
        <a:ext cx="4228465" cy="2396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1204631</xdr:colOff>
      <xdr:row>26</xdr:row>
      <xdr:rowOff>124385</xdr:rowOff>
    </xdr:from>
    <xdr:to>
      <xdr:col>11</xdr:col>
      <xdr:colOff>240926</xdr:colOff>
      <xdr:row>41</xdr:row>
      <xdr:rowOff>10085</xdr:rowOff>
    </xdr:to>
    <xdr:graphicFrame>
      <xdr:nvGraphicFramePr>
        <xdr:cNvPr id="3" name="Chart 2"/>
        <xdr:cNvGraphicFramePr/>
      </xdr:nvGraphicFramePr>
      <xdr:xfrm>
        <a:off x="6405245" y="5076825"/>
        <a:ext cx="41890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28</xdr:row>
      <xdr:rowOff>11206</xdr:rowOff>
    </xdr:from>
    <xdr:to>
      <xdr:col>5</xdr:col>
      <xdr:colOff>11206</xdr:colOff>
      <xdr:row>38</xdr:row>
      <xdr:rowOff>176212</xdr:rowOff>
    </xdr:to>
    <xdr:graphicFrame>
      <xdr:nvGraphicFramePr>
        <xdr:cNvPr id="2" name="Chart 1"/>
        <xdr:cNvGraphicFramePr/>
      </xdr:nvGraphicFramePr>
      <xdr:xfrm>
        <a:off x="857250" y="5344795"/>
        <a:ext cx="387794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656053</xdr:colOff>
      <xdr:row>27</xdr:row>
      <xdr:rowOff>173181</xdr:rowOff>
    </xdr:from>
    <xdr:to>
      <xdr:col>8</xdr:col>
      <xdr:colOff>1451671</xdr:colOff>
      <xdr:row>38</xdr:row>
      <xdr:rowOff>150768</xdr:rowOff>
    </xdr:to>
    <xdr:graphicFrame>
      <xdr:nvGraphicFramePr>
        <xdr:cNvPr id="3" name="Chart 2"/>
        <xdr:cNvGraphicFramePr/>
      </xdr:nvGraphicFramePr>
      <xdr:xfrm>
        <a:off x="5380355" y="5316220"/>
        <a:ext cx="4500880" cy="207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17317</xdr:colOff>
      <xdr:row>28</xdr:row>
      <xdr:rowOff>1018</xdr:rowOff>
    </xdr:from>
    <xdr:to>
      <xdr:col>14</xdr:col>
      <xdr:colOff>39728</xdr:colOff>
      <xdr:row>39</xdr:row>
      <xdr:rowOff>48508</xdr:rowOff>
    </xdr:to>
    <xdr:graphicFrame>
      <xdr:nvGraphicFramePr>
        <xdr:cNvPr id="4" name="Chart 3"/>
        <xdr:cNvGraphicFramePr/>
      </xdr:nvGraphicFramePr>
      <xdr:xfrm>
        <a:off x="10913745" y="5334635"/>
        <a:ext cx="4013200" cy="214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40</xdr:row>
      <xdr:rowOff>168088</xdr:rowOff>
    </xdr:from>
    <xdr:to>
      <xdr:col>5</xdr:col>
      <xdr:colOff>22412</xdr:colOff>
      <xdr:row>53</xdr:row>
      <xdr:rowOff>179294</xdr:rowOff>
    </xdr:to>
    <xdr:graphicFrame>
      <xdr:nvGraphicFramePr>
        <xdr:cNvPr id="5" name="Chart 4"/>
        <xdr:cNvGraphicFramePr/>
      </xdr:nvGraphicFramePr>
      <xdr:xfrm>
        <a:off x="857250" y="7787640"/>
        <a:ext cx="3889375" cy="2487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8</xdr:col>
      <xdr:colOff>1445559</xdr:colOff>
      <xdr:row>53</xdr:row>
      <xdr:rowOff>173182</xdr:rowOff>
    </xdr:to>
    <xdr:graphicFrame>
      <xdr:nvGraphicFramePr>
        <xdr:cNvPr id="6" name="Chart 5"/>
        <xdr:cNvGraphicFramePr/>
      </xdr:nvGraphicFramePr>
      <xdr:xfrm>
        <a:off x="5381625" y="7810500"/>
        <a:ext cx="4493260" cy="24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</xdr:colOff>
      <xdr:row>40</xdr:row>
      <xdr:rowOff>173183</xdr:rowOff>
    </xdr:from>
    <xdr:to>
      <xdr:col>14</xdr:col>
      <xdr:colOff>17319</xdr:colOff>
      <xdr:row>54</xdr:row>
      <xdr:rowOff>17319</xdr:rowOff>
    </xdr:to>
    <xdr:graphicFrame>
      <xdr:nvGraphicFramePr>
        <xdr:cNvPr id="7" name="Chart 6"/>
        <xdr:cNvGraphicFramePr/>
      </xdr:nvGraphicFramePr>
      <xdr:xfrm>
        <a:off x="10896600" y="7792720"/>
        <a:ext cx="4008120" cy="2511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398317</xdr:colOff>
      <xdr:row>33</xdr:row>
      <xdr:rowOff>121227</xdr:rowOff>
    </xdr:from>
    <xdr:to>
      <xdr:col>18</xdr:col>
      <xdr:colOff>1094610</xdr:colOff>
      <xdr:row>46</xdr:row>
      <xdr:rowOff>41664</xdr:rowOff>
    </xdr:to>
    <xdr:graphicFrame>
      <xdr:nvGraphicFramePr>
        <xdr:cNvPr id="8" name="Chart 7"/>
        <xdr:cNvGraphicFramePr/>
      </xdr:nvGraphicFramePr>
      <xdr:xfrm>
        <a:off x="15285720" y="6407150"/>
        <a:ext cx="4267835" cy="2397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582185</xdr:colOff>
      <xdr:row>20</xdr:row>
      <xdr:rowOff>37481</xdr:rowOff>
    </xdr:from>
    <xdr:to>
      <xdr:col>11</xdr:col>
      <xdr:colOff>493060</xdr:colOff>
      <xdr:row>33</xdr:row>
      <xdr:rowOff>37481</xdr:rowOff>
    </xdr:to>
    <xdr:graphicFrame>
      <xdr:nvGraphicFramePr>
        <xdr:cNvPr id="5" name="Chart 4"/>
        <xdr:cNvGraphicFramePr/>
      </xdr:nvGraphicFramePr>
      <xdr:xfrm>
        <a:off x="2381885" y="3847465"/>
        <a:ext cx="47117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287351</xdr:colOff>
      <xdr:row>7</xdr:row>
      <xdr:rowOff>2</xdr:rowOff>
    </xdr:from>
    <xdr:to>
      <xdr:col>26</xdr:col>
      <xdr:colOff>582706</xdr:colOff>
      <xdr:row>19</xdr:row>
      <xdr:rowOff>179294</xdr:rowOff>
    </xdr:to>
    <xdr:graphicFrame>
      <xdr:nvGraphicFramePr>
        <xdr:cNvPr id="7" name="Chart 6"/>
        <xdr:cNvGraphicFramePr/>
      </xdr:nvGraphicFramePr>
      <xdr:xfrm>
        <a:off x="11688445" y="1333500"/>
        <a:ext cx="4495800" cy="2465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282549</xdr:colOff>
      <xdr:row>20</xdr:row>
      <xdr:rowOff>22413</xdr:rowOff>
    </xdr:from>
    <xdr:to>
      <xdr:col>26</xdr:col>
      <xdr:colOff>560294</xdr:colOff>
      <xdr:row>32</xdr:row>
      <xdr:rowOff>185698</xdr:rowOff>
    </xdr:to>
    <xdr:graphicFrame>
      <xdr:nvGraphicFramePr>
        <xdr:cNvPr id="8" name="Chart 7"/>
        <xdr:cNvGraphicFramePr/>
      </xdr:nvGraphicFramePr>
      <xdr:xfrm>
        <a:off x="11683365" y="3832225"/>
        <a:ext cx="4478655" cy="2449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191860</xdr:colOff>
      <xdr:row>6</xdr:row>
      <xdr:rowOff>176891</xdr:rowOff>
    </xdr:from>
    <xdr:to>
      <xdr:col>3</xdr:col>
      <xdr:colOff>190500</xdr:colOff>
      <xdr:row>15</xdr:row>
      <xdr:rowOff>54428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770" y="1319530"/>
              <a:ext cx="1798955" cy="1591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213633</xdr:colOff>
      <xdr:row>16</xdr:row>
      <xdr:rowOff>119743</xdr:rowOff>
    </xdr:from>
    <xdr:to>
      <xdr:col>3</xdr:col>
      <xdr:colOff>205469</xdr:colOff>
      <xdr:row>26</xdr:row>
      <xdr:rowOff>27214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Job_Ro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" y="3167380"/>
              <a:ext cx="1791970" cy="1812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3</xdr:row>
      <xdr:rowOff>164470</xdr:rowOff>
    </xdr:from>
    <xdr:to>
      <xdr:col>7</xdr:col>
      <xdr:colOff>52618</xdr:colOff>
      <xdr:row>6</xdr:row>
      <xdr:rowOff>91108</xdr:rowOff>
    </xdr:to>
    <xdr:sp textlink="PIVOT!B39">
      <xdr:nvSpPr>
        <xdr:cNvPr id="16" name="Rectangle: Rounded Corners 15"/>
        <xdr:cNvSpPr/>
      </xdr:nvSpPr>
      <xdr:spPr>
        <a:xfrm>
          <a:off x="2400300" y="735965"/>
          <a:ext cx="1852295" cy="497840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962C8B-B14F-4D97-AF65-F5344CB8AC3E}" type="TxLink"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$2,489,335 </a:t>
          </a:fld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8</xdr:col>
      <xdr:colOff>23283</xdr:colOff>
      <xdr:row>3</xdr:row>
      <xdr:rowOff>113031</xdr:rowOff>
    </xdr:from>
    <xdr:to>
      <xdr:col>11</xdr:col>
      <xdr:colOff>11206</xdr:colOff>
      <xdr:row>6</xdr:row>
      <xdr:rowOff>39669</xdr:rowOff>
    </xdr:to>
    <xdr:sp textlink="PIVOT!A24">
      <xdr:nvSpPr>
        <xdr:cNvPr id="17" name="Rectangle: Rounded Corners 16"/>
        <xdr:cNvSpPr/>
      </xdr:nvSpPr>
      <xdr:spPr>
        <a:xfrm>
          <a:off x="4823460" y="684530"/>
          <a:ext cx="1788160" cy="497840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962C8B-B14F-4D97-AF65-F5344CB8AC3E}" type="TxLink"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</a:t>
          </a:fld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514670</xdr:colOff>
      <xdr:row>20</xdr:row>
      <xdr:rowOff>19210</xdr:rowOff>
    </xdr:from>
    <xdr:to>
      <xdr:col>19</xdr:col>
      <xdr:colOff>268941</xdr:colOff>
      <xdr:row>33</xdr:row>
      <xdr:rowOff>33618</xdr:rowOff>
    </xdr:to>
    <xdr:graphicFrame>
      <xdr:nvGraphicFramePr>
        <xdr:cNvPr id="19" name="Chart 18"/>
        <xdr:cNvGraphicFramePr/>
      </xdr:nvGraphicFramePr>
      <xdr:xfrm>
        <a:off x="7115175" y="3829050"/>
        <a:ext cx="4554855" cy="2490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212272</xdr:colOff>
      <xdr:row>27</xdr:row>
      <xdr:rowOff>114300</xdr:rowOff>
    </xdr:from>
    <xdr:to>
      <xdr:col>3</xdr:col>
      <xdr:colOff>204108</xdr:colOff>
      <xdr:row>57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Employee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090" y="5257800"/>
              <a:ext cx="1791970" cy="575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13608</xdr:colOff>
      <xdr:row>3</xdr:row>
      <xdr:rowOff>144876</xdr:rowOff>
    </xdr:from>
    <xdr:to>
      <xdr:col>15</xdr:col>
      <xdr:colOff>11206</xdr:colOff>
      <xdr:row>6</xdr:row>
      <xdr:rowOff>67236</xdr:rowOff>
    </xdr:to>
    <xdr:sp>
      <xdr:nvSpPr>
        <xdr:cNvPr id="14" name="Rectangle: Rounded Corners 13"/>
        <xdr:cNvSpPr/>
      </xdr:nvSpPr>
      <xdr:spPr>
        <a:xfrm>
          <a:off x="7214235" y="716280"/>
          <a:ext cx="1797685" cy="493395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No. of Exellent Employee 4</a:t>
          </a:r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  <a:p>
          <a:pPr marL="0" indent="0" algn="ctr"/>
          <a:r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5</a:t>
          </a:r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19</xdr:col>
      <xdr:colOff>605117</xdr:colOff>
      <xdr:row>3</xdr:row>
      <xdr:rowOff>168089</xdr:rowOff>
    </xdr:from>
    <xdr:to>
      <xdr:col>23</xdr:col>
      <xdr:colOff>11206</xdr:colOff>
      <xdr:row>6</xdr:row>
      <xdr:rowOff>94727</xdr:rowOff>
    </xdr:to>
    <xdr:sp textlink="PIVOT!A24">
      <xdr:nvSpPr>
        <xdr:cNvPr id="18" name="Rectangle: Rounded Corners 17"/>
        <xdr:cNvSpPr/>
      </xdr:nvSpPr>
      <xdr:spPr>
        <a:xfrm>
          <a:off x="12001500" y="739140"/>
          <a:ext cx="1811020" cy="498475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962C8B-B14F-4D97-AF65-F5344CB8AC3E}" type="TxLink"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</a:t>
          </a:fld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16</xdr:col>
      <xdr:colOff>11207</xdr:colOff>
      <xdr:row>3</xdr:row>
      <xdr:rowOff>139513</xdr:rowOff>
    </xdr:from>
    <xdr:to>
      <xdr:col>19</xdr:col>
      <xdr:colOff>0</xdr:colOff>
      <xdr:row>6</xdr:row>
      <xdr:rowOff>66151</xdr:rowOff>
    </xdr:to>
    <xdr:sp textlink="PIVOT!A24">
      <xdr:nvSpPr>
        <xdr:cNvPr id="20" name="Rectangle: Rounded Corners 19"/>
        <xdr:cNvSpPr/>
      </xdr:nvSpPr>
      <xdr:spPr>
        <a:xfrm>
          <a:off x="9611995" y="710565"/>
          <a:ext cx="1789430" cy="498475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962C8B-B14F-4D97-AF65-F5344CB8AC3E}" type="TxLink"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</a:t>
          </a:fld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24</xdr:col>
      <xdr:colOff>0</xdr:colOff>
      <xdr:row>3</xdr:row>
      <xdr:rowOff>168088</xdr:rowOff>
    </xdr:from>
    <xdr:to>
      <xdr:col>26</xdr:col>
      <xdr:colOff>463188</xdr:colOff>
      <xdr:row>6</xdr:row>
      <xdr:rowOff>94726</xdr:rowOff>
    </xdr:to>
    <xdr:sp textlink="PIVOT!A24">
      <xdr:nvSpPr>
        <xdr:cNvPr id="21" name="Rectangle: Rounded Corners 20"/>
        <xdr:cNvSpPr/>
      </xdr:nvSpPr>
      <xdr:spPr>
        <a:xfrm>
          <a:off x="14401800" y="739140"/>
          <a:ext cx="1663065" cy="498475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BB962C8B-B14F-4D97-AF65-F5344CB8AC3E}" type="TxLink">
            <a:rPr lang="en-US" sz="11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</a:t>
          </a:fld>
          <a:endParaRPr lang="en-US" sz="11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523876</xdr:colOff>
      <xdr:row>7</xdr:row>
      <xdr:rowOff>9525</xdr:rowOff>
    </xdr:from>
    <xdr:to>
      <xdr:col>19</xdr:col>
      <xdr:colOff>290233</xdr:colOff>
      <xdr:row>19</xdr:row>
      <xdr:rowOff>180975</xdr:rowOff>
    </xdr:to>
    <xdr:graphicFrame>
      <xdr:nvGraphicFramePr>
        <xdr:cNvPr id="23" name="Chart 22"/>
        <xdr:cNvGraphicFramePr/>
      </xdr:nvGraphicFramePr>
      <xdr:xfrm>
        <a:off x="7124700" y="1343025"/>
        <a:ext cx="4566920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588869</xdr:colOff>
      <xdr:row>7</xdr:row>
      <xdr:rowOff>17317</xdr:rowOff>
    </xdr:from>
    <xdr:to>
      <xdr:col>11</xdr:col>
      <xdr:colOff>503145</xdr:colOff>
      <xdr:row>19</xdr:row>
      <xdr:rowOff>180974</xdr:rowOff>
    </xdr:to>
    <xdr:graphicFrame>
      <xdr:nvGraphicFramePr>
        <xdr:cNvPr id="24" name="Chart 23"/>
        <xdr:cNvGraphicFramePr/>
      </xdr:nvGraphicFramePr>
      <xdr:xfrm>
        <a:off x="2388870" y="1350645"/>
        <a:ext cx="4714875" cy="2449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925.3489997685" refreshedBy="HP" recordCount="20">
  <cacheSource type="worksheet">
    <worksheetSource ref="A2:L22" sheet="W Employee_Record"/>
  </cacheSource>
  <cacheFields count="12">
    <cacheField name="Employee_ID" numFmtId="0"/>
    <cacheField name="Employee_Name" numFmtId="0">
      <sharedItems count="20">
        <s v="John Doe"/>
        <s v="Mary Jane"/>
        <s v="Ali Musa"/>
        <s v="Grace Ade"/>
        <s v="Peter Obi"/>
        <s v="Fatima Bello"/>
        <s v="Chidi Okafor"/>
        <s v="Aisha Ahmed"/>
        <s v="James Brown"/>
        <s v="Ngozi Eze"/>
        <s v="Emeka Uche"/>
        <s v="Zainab Umar"/>
        <s v="David Mark"/>
        <s v="Ruth John"/>
        <s v="Suleiman Ali"/>
        <s v="Esther Paul"/>
        <s v="Ibrahim Sani"/>
        <s v="Joy Okeke"/>
        <s v="Samuel Peters"/>
        <s v="Helen Adams"/>
      </sharedItems>
    </cacheField>
    <cacheField name="Department" numFmtId="0">
      <sharedItems count="4">
        <s v="IT"/>
        <s v="HR"/>
        <s v="Sales"/>
        <s v="Finance"/>
      </sharedItems>
    </cacheField>
    <cacheField name="Job_Role" numFmtId="0">
      <sharedItems count="5">
        <s v="Developer"/>
        <s v="HR Officer"/>
        <s v="IT Support"/>
        <s v="Sales Exec"/>
        <s v="Accountant"/>
      </sharedItems>
    </cacheField>
    <cacheField name="Performance_Score" numFmtId="0">
      <sharedItems containsSemiMixedTypes="0" containsString="0" containsNumber="1" containsInteger="1" minValue="30" maxValue="99" count="18">
        <n v="81"/>
        <n v="45"/>
        <n v="73"/>
        <n v="30"/>
        <n v="38"/>
        <n v="95"/>
        <n v="57"/>
        <n v="61"/>
        <n v="42"/>
        <n v="84"/>
        <n v="43"/>
        <n v="98"/>
        <n v="53"/>
        <n v="39"/>
        <n v="99"/>
        <n v="51"/>
        <n v="78"/>
        <n v="88"/>
      </sharedItems>
    </cacheField>
    <cacheField name="Bonus (%)" numFmtId="9"/>
    <cacheField name="employee’s Base_Salary" numFmtId="179"/>
    <cacheField name="Performance_Category" numFmtId="0">
      <sharedItems count="4">
        <s v="Good"/>
        <s v="Poor"/>
        <s v="Excllent"/>
        <s v="Average"/>
      </sharedItems>
    </cacheField>
    <cacheField name="Base salary  + Bonus" numFmtId="179"/>
    <cacheField name="Final Salary" numFmtId="179"/>
    <cacheField name="Final Salary + Allowance" numFmtId="179">
      <sharedItems containsSemiMixedTypes="0" containsString="0" containsNumber="1" containsInteger="1" minValue="115940" maxValue="177225" count="17">
        <n v="177225"/>
        <n v="127112"/>
        <n v="121090"/>
        <n v="115940"/>
        <n v="136128"/>
        <n v="157688"/>
        <n v="164800"/>
        <n v="174000"/>
        <n v="126034"/>
        <n v="135098"/>
        <n v="118880"/>
        <n v="172500"/>
        <n v="129268"/>
        <n v="142200"/>
        <n v="131600"/>
        <n v="142308"/>
        <n v="128190"/>
      </sharedItems>
    </cacheField>
    <cacheField name="With R Refrencing" numFmtId="179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01"/>
    <x v="0"/>
    <x v="0"/>
    <x v="0"/>
    <x v="0"/>
    <n v="0.05"/>
    <n v="150000"/>
    <x v="0"/>
    <n v="157500"/>
    <n v="162225"/>
    <x v="0"/>
    <n v="192225"/>
  </r>
  <r>
    <n v="102"/>
    <x v="1"/>
    <x v="1"/>
    <x v="1"/>
    <x v="1"/>
    <n v="0.04"/>
    <n v="110000"/>
    <x v="1"/>
    <n v="114400"/>
    <n v="112112"/>
    <x v="1"/>
    <n v="142112"/>
  </r>
  <r>
    <n v="103"/>
    <x v="2"/>
    <x v="0"/>
    <x v="2"/>
    <x v="2"/>
    <n v="0.03"/>
    <n v="100000"/>
    <x v="0"/>
    <n v="103000"/>
    <n v="106090"/>
    <x v="2"/>
    <n v="136090"/>
  </r>
  <r>
    <n v="104"/>
    <x v="3"/>
    <x v="0"/>
    <x v="2"/>
    <x v="3"/>
    <n v="0.03"/>
    <n v="100000"/>
    <x v="1"/>
    <n v="103000"/>
    <n v="100940"/>
    <x v="3"/>
    <n v="130940"/>
  </r>
  <r>
    <n v="105"/>
    <x v="4"/>
    <x v="2"/>
    <x v="3"/>
    <x v="4"/>
    <n v="0.03"/>
    <n v="120000"/>
    <x v="1"/>
    <n v="123600"/>
    <n v="121128"/>
    <x v="4"/>
    <n v="151128"/>
  </r>
  <r>
    <n v="106"/>
    <x v="5"/>
    <x v="3"/>
    <x v="4"/>
    <x v="5"/>
    <n v="0.04"/>
    <n v="140000"/>
    <x v="2"/>
    <n v="145600"/>
    <n v="142688"/>
    <x v="5"/>
    <n v="172688"/>
  </r>
  <r>
    <n v="107"/>
    <x v="6"/>
    <x v="3"/>
    <x v="4"/>
    <x v="6"/>
    <n v="0.07"/>
    <n v="140000"/>
    <x v="3"/>
    <n v="149800"/>
    <n v="149800"/>
    <x v="6"/>
    <n v="179800"/>
  </r>
  <r>
    <n v="108"/>
    <x v="7"/>
    <x v="0"/>
    <x v="0"/>
    <x v="7"/>
    <n v="0.06"/>
    <n v="150000"/>
    <x v="3"/>
    <n v="159000"/>
    <n v="159000"/>
    <x v="7"/>
    <n v="189000"/>
  </r>
  <r>
    <n v="109"/>
    <x v="8"/>
    <x v="1"/>
    <x v="1"/>
    <x v="8"/>
    <n v="0.03"/>
    <n v="110000"/>
    <x v="1"/>
    <n v="113300"/>
    <n v="111034"/>
    <x v="8"/>
    <n v="141034"/>
  </r>
  <r>
    <n v="110"/>
    <x v="9"/>
    <x v="1"/>
    <x v="1"/>
    <x v="9"/>
    <n v="0.06"/>
    <n v="110000"/>
    <x v="0"/>
    <n v="116600"/>
    <n v="120098"/>
    <x v="9"/>
    <n v="150098"/>
  </r>
  <r>
    <n v="111"/>
    <x v="10"/>
    <x v="1"/>
    <x v="1"/>
    <x v="8"/>
    <n v="0.03"/>
    <n v="110000"/>
    <x v="1"/>
    <n v="113300"/>
    <n v="111034"/>
    <x v="8"/>
    <n v="141034"/>
  </r>
  <r>
    <n v="112"/>
    <x v="11"/>
    <x v="1"/>
    <x v="1"/>
    <x v="10"/>
    <n v="0.04"/>
    <n v="110000"/>
    <x v="1"/>
    <n v="114400"/>
    <n v="112112"/>
    <x v="1"/>
    <n v="142112"/>
  </r>
  <r>
    <n v="113"/>
    <x v="12"/>
    <x v="0"/>
    <x v="2"/>
    <x v="11"/>
    <n v="0.06"/>
    <n v="100000"/>
    <x v="2"/>
    <n v="106000"/>
    <n v="103880"/>
    <x v="10"/>
    <n v="133880"/>
  </r>
  <r>
    <n v="114"/>
    <x v="13"/>
    <x v="0"/>
    <x v="0"/>
    <x v="12"/>
    <n v="0.05"/>
    <n v="150000"/>
    <x v="3"/>
    <n v="157500"/>
    <n v="157500"/>
    <x v="11"/>
    <n v="187500"/>
  </r>
  <r>
    <n v="115"/>
    <x v="14"/>
    <x v="1"/>
    <x v="1"/>
    <x v="13"/>
    <n v="0.06"/>
    <n v="110000"/>
    <x v="1"/>
    <n v="116600"/>
    <n v="114268"/>
    <x v="12"/>
    <n v="144268"/>
  </r>
  <r>
    <n v="116"/>
    <x v="15"/>
    <x v="2"/>
    <x v="3"/>
    <x v="14"/>
    <n v="0.03"/>
    <n v="120000"/>
    <x v="2"/>
    <n v="123600"/>
    <n v="121128"/>
    <x v="4"/>
    <n v="151128"/>
  </r>
  <r>
    <n v="117"/>
    <x v="16"/>
    <x v="2"/>
    <x v="3"/>
    <x v="15"/>
    <n v="0.06"/>
    <n v="120000"/>
    <x v="3"/>
    <n v="127200"/>
    <n v="127200"/>
    <x v="13"/>
    <n v="157200"/>
  </r>
  <r>
    <n v="118"/>
    <x v="17"/>
    <x v="1"/>
    <x v="1"/>
    <x v="6"/>
    <n v="0.06"/>
    <n v="110000"/>
    <x v="3"/>
    <n v="116600"/>
    <n v="116600"/>
    <x v="14"/>
    <n v="146600"/>
  </r>
  <r>
    <n v="119"/>
    <x v="18"/>
    <x v="2"/>
    <x v="3"/>
    <x v="16"/>
    <n v="0.03"/>
    <n v="120000"/>
    <x v="0"/>
    <n v="123600"/>
    <n v="127308"/>
    <x v="15"/>
    <n v="157308"/>
  </r>
  <r>
    <n v="120"/>
    <x v="19"/>
    <x v="1"/>
    <x v="1"/>
    <x v="17"/>
    <n v="0.05"/>
    <n v="110000"/>
    <x v="2"/>
    <n v="115500"/>
    <n v="113190"/>
    <x v="16"/>
    <n v="143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9">
  <location ref="A43:B48" firstHeaderRow="1" firstDataRow="1" firstDataCol="1"/>
  <pivotFields count="12">
    <pivotField showAll="0"/>
    <pivotField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sortType="ascending" showAll="0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axis="axisRow" sortType="ascending" showAll="0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9" showAll="0"/>
    <pivotField dataField="1"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7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Final Salar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15:B20" firstHeaderRow="1" firstDataRow="1" firstDataCol="1"/>
  <pivotFields count="12">
    <pivotField showAll="0"/>
    <pivotField dataField="1"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axis="axisRow" showAll="0">
      <items count="5">
        <item x="3"/>
        <item x="2"/>
        <item x="0"/>
        <item x="1"/>
        <item t="default"/>
      </items>
    </pivotField>
    <pivotField numFmtId="179" showAll="0"/>
    <pivotField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Name" fld="1" subtotal="count" baseField="7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32:B37" firstHeaderRow="1" firstDataRow="1" firstDataCol="1"/>
  <pivotFields count="12">
    <pivotField showAll="0"/>
    <pivotField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axis="axisRow" sortType="ascending" showAll="0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showAll="0">
      <items count="5">
        <item x="3"/>
        <item x="2"/>
        <item x="0"/>
        <item x="1"/>
        <item t="default"/>
      </items>
    </pivotField>
    <pivotField numFmtId="179" showAll="0"/>
    <pivotField dataField="1"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2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Final Salary" fld="9" baseField="0" baseItem="0" numFmtId="178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>
  <location ref="D1:E22" firstHeaderRow="1" firstDataRow="1" firstDataCol="1"/>
  <pivotFields count="12">
    <pivotField showAll="0"/>
    <pivotField axis="axisRow" sortType="ascending"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dataField="1" numFmtId="9" showAll="0"/>
    <pivotField numFmtId="179" showAll="0"/>
    <pivotField showAll="0">
      <items count="5">
        <item x="3"/>
        <item x="2"/>
        <item x="0"/>
        <item x="1"/>
        <item t="default"/>
      </items>
    </pivotField>
    <pivotField numFmtId="179" showAll="0"/>
    <pivotField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1"/>
  </rowFields>
  <rowItems count="21">
    <i>
      <x v="1"/>
    </i>
    <i>
      <x v="4"/>
    </i>
    <i>
      <x v="5"/>
    </i>
    <i>
      <x v="7"/>
    </i>
    <i>
      <x v="10"/>
    </i>
    <i>
      <x v="15"/>
    </i>
    <i>
      <x v="17"/>
    </i>
    <i>
      <x v="6"/>
    </i>
    <i>
      <x v="13"/>
    </i>
    <i>
      <x v="19"/>
    </i>
    <i>
      <x v="8"/>
    </i>
    <i>
      <x v="11"/>
    </i>
    <i>
      <x v="16"/>
    </i>
    <i>
      <x/>
    </i>
    <i>
      <x v="3"/>
    </i>
    <i>
      <x v="9"/>
    </i>
    <i>
      <x v="12"/>
    </i>
    <i>
      <x v="14"/>
    </i>
    <i>
      <x v="18"/>
    </i>
    <i>
      <x v="2"/>
    </i>
    <i t="grand">
      <x/>
    </i>
  </rowItems>
  <colItems count="1">
    <i/>
  </colItems>
  <dataFields count="1">
    <dataField name="Sum of Bonus (%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17">
  <location ref="D57:E62" firstHeaderRow="1" firstDataRow="1" firstDataCol="1"/>
  <pivotFields count="12">
    <pivotField showAll="0"/>
    <pivotField dataField="1"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axis="axisRow" sortType="ascending" showAll="0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9" showAll="0"/>
    <pivotField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7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>
  <location ref="D31:D32" firstHeaderRow="1" firstDataRow="1" firstDataCol="0"/>
  <pivotFields count="12">
    <pivotField showAll="0"/>
    <pivotField dataField="1"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sortType="ascending" showAll="0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9" showAll="0"/>
    <pivotField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dataFields count="1">
    <dataField name="Count of Employee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3:B8" firstHeaderRow="1" firstDataRow="1" firstDataCol="1"/>
  <pivotFields count="12">
    <pivotField showAll="0"/>
    <pivotField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axis="axisRow" sortType="ascending" showAll="0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showAll="0">
      <items count="5">
        <item x="3"/>
        <item x="2"/>
        <item x="0"/>
        <item x="1"/>
        <item t="default"/>
      </items>
    </pivotField>
    <pivotField numFmtId="179" showAll="0"/>
    <pivotField dataField="1"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2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Average of Final Salary" fld="9" subtotal="average" baseField="2" baseItem="0" numFmtId="178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12">
  <location ref="A51:B72" firstHeaderRow="1" firstDataRow="1" firstDataCol="1"/>
  <pivotFields count="12">
    <pivotField showAll="0"/>
    <pivotField axis="axisRow" sortType="ascending"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dataField="1" numFmtId="9" showAll="0"/>
    <pivotField numFmtId="179" showAll="0"/>
    <pivotField showAll="0">
      <items count="5">
        <item x="3"/>
        <item x="2"/>
        <item x="0"/>
        <item x="1"/>
        <item t="default"/>
      </items>
    </pivotField>
    <pivotField numFmtId="179" showAll="0"/>
    <pivotField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1"/>
  </rowFields>
  <rowItems count="21">
    <i>
      <x v="1"/>
    </i>
    <i>
      <x v="4"/>
    </i>
    <i>
      <x v="5"/>
    </i>
    <i>
      <x v="7"/>
    </i>
    <i>
      <x v="10"/>
    </i>
    <i>
      <x v="15"/>
    </i>
    <i>
      <x v="17"/>
    </i>
    <i>
      <x v="6"/>
    </i>
    <i>
      <x v="13"/>
    </i>
    <i>
      <x v="19"/>
    </i>
    <i>
      <x v="8"/>
    </i>
    <i>
      <x v="11"/>
    </i>
    <i>
      <x v="16"/>
    </i>
    <i>
      <x/>
    </i>
    <i>
      <x v="3"/>
    </i>
    <i>
      <x v="9"/>
    </i>
    <i>
      <x v="12"/>
    </i>
    <i>
      <x v="14"/>
    </i>
    <i>
      <x v="18"/>
    </i>
    <i>
      <x v="2"/>
    </i>
    <i t="grand">
      <x/>
    </i>
  </rowItems>
  <colItems count="1">
    <i/>
  </colItems>
  <dataFields count="1">
    <dataField name="Sum of Bonus (%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15">
  <location ref="D51:E56" firstHeaderRow="1" firstDataRow="1" firstDataCol="1"/>
  <pivotFields count="12">
    <pivotField showAll="0"/>
    <pivotField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axis="axisRow" sortType="ascending" showAll="0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showAll="0">
      <items count="5">
        <item x="3"/>
        <item x="2"/>
        <item x="0"/>
        <item x="1"/>
        <item t="default"/>
      </items>
    </pivotField>
    <pivotField numFmtId="179" showAll="0"/>
    <pivotField dataField="1" numFmtId="179" showAll="0"/>
    <pivotField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2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Final Salar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>
  <location ref="C44:D49" firstHeaderRow="1" firstDataRow="1" firstDataCol="1"/>
  <pivotFields count="12">
    <pivotField showAll="0"/>
    <pivotField showAll="0">
      <items count="21">
        <item x="7"/>
        <item x="2"/>
        <item x="6"/>
        <item x="12"/>
        <item x="10"/>
        <item x="15"/>
        <item x="5"/>
        <item x="3"/>
        <item x="19"/>
        <item x="16"/>
        <item x="8"/>
        <item x="0"/>
        <item x="17"/>
        <item x="1"/>
        <item x="9"/>
        <item x="4"/>
        <item x="13"/>
        <item x="18"/>
        <item x="14"/>
        <item x="1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>
      <items count="19">
        <item x="3"/>
        <item x="4"/>
        <item x="13"/>
        <item x="8"/>
        <item x="10"/>
        <item x="1"/>
        <item x="15"/>
        <item x="12"/>
        <item x="6"/>
        <item x="7"/>
        <item x="2"/>
        <item x="16"/>
        <item x="0"/>
        <item x="9"/>
        <item x="17"/>
        <item x="5"/>
        <item x="11"/>
        <item x="14"/>
        <item t="default"/>
      </items>
    </pivotField>
    <pivotField numFmtId="9" showAll="0"/>
    <pivotField numFmtId="179" showAll="0"/>
    <pivotField axis="axisRow" showAll="0">
      <items count="5">
        <item x="3"/>
        <item x="2"/>
        <item x="0"/>
        <item x="1"/>
        <item t="default"/>
      </items>
    </pivotField>
    <pivotField numFmtId="179" showAll="0"/>
    <pivotField numFmtId="179" showAll="0"/>
    <pivotField dataField="1" numFmtId="179" showAll="0">
      <items count="18">
        <item x="3"/>
        <item x="10"/>
        <item x="2"/>
        <item x="8"/>
        <item x="1"/>
        <item x="16"/>
        <item x="12"/>
        <item x="14"/>
        <item x="9"/>
        <item h="1" x="4"/>
        <item x="13"/>
        <item x="15"/>
        <item h="1" x="5"/>
        <item x="6"/>
        <item x="11"/>
        <item x="7"/>
        <item x="0"/>
        <item t="default"/>
      </items>
    </pivotField>
    <pivotField numFmtId="179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Salary + Allowan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6" name="PivotTable1"/>
    <pivotTable tabId="6" name="PivotTable11"/>
    <pivotTable tabId="6" name="PivotTable12"/>
    <pivotTable tabId="6" name="PivotTable2"/>
    <pivotTable tabId="6" name="PivotTable5"/>
    <pivotTable tabId="6" name="PivotTable7"/>
    <pivotTable tabId="6" name="PivotTable8"/>
    <pivotTable tabId="6" name="PivotTable9"/>
    <pivotTable tabId="6" name="PivotTable3"/>
    <pivotTable tabId="6" name="PivotTable4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Role" sourceName="Job_Role">
  <pivotTables>
    <pivotTable tabId="6" name="PivotTable9"/>
    <pivotTable tabId="6" name="PivotTable1"/>
    <pivotTable tabId="6" name="PivotTable11"/>
    <pivotTable tabId="6" name="PivotTable12"/>
    <pivotTable tabId="6" name="PivotTable2"/>
    <pivotTable tabId="6" name="PivotTable5"/>
    <pivotTable tabId="6" name="PivotTable7"/>
    <pivotTable tabId="6" name="PivotTable8"/>
    <pivotTable tabId="6" name="PivotTable3"/>
    <pivotTable tabId="6" name="PivotTable4"/>
  </pivotTables>
  <data>
    <tabular pivotCacheId="1">
      <items count="5">
        <i x="4" s="1"/>
        <i x="0" s="1"/>
        <i x="1" s="1"/>
        <i x="2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ee_Name" sourceName="Employee_Name">
  <pivotTables>
    <pivotTable tabId="6" name="PivotTable3"/>
    <pivotTable tabId="6" name="PivotTable1"/>
    <pivotTable tabId="6" name="PivotTable11"/>
    <pivotTable tabId="6" name="PivotTable12"/>
    <pivotTable tabId="6" name="PivotTable2"/>
    <pivotTable tabId="6" name="PivotTable5"/>
    <pivotTable tabId="6" name="PivotTable7"/>
    <pivotTable tabId="6" name="PivotTable8"/>
    <pivotTable tabId="6" name="PivotTable9"/>
    <pivotTable tabId="6" name="PivotTable4"/>
  </pivotTables>
  <data>
    <tabular pivotCacheId="1">
      <items count="20">
        <i x="7" s="1"/>
        <i x="2" s="1"/>
        <i x="6" s="1"/>
        <i x="12" s="1"/>
        <i x="10" s="1"/>
        <i x="15" s="1"/>
        <i x="5" s="1"/>
        <i x="3" s="1"/>
        <i x="19" s="1"/>
        <i x="16" s="1"/>
        <i x="8" s="1"/>
        <i x="0" s="1"/>
        <i x="17" s="1"/>
        <i x="1" s="1"/>
        <i x="9" s="1"/>
        <i x="4" s="1"/>
        <i x="13" s="1"/>
        <i x="18" s="1"/>
        <i x="14" s="1"/>
        <i x="1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41300"/>
  <slicer name="Job_Role" cache="Slicer_Job_Role" caption="Job_Role" rowHeight="241300"/>
  <slicer name="Employee_Name" cache="Slicer_Employee_Name" caption="Employee_Name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115" zoomScaleNormal="115" workbookViewId="0">
      <selection activeCell="G4" sqref="G4"/>
    </sheetView>
  </sheetViews>
  <sheetFormatPr defaultColWidth="9" defaultRowHeight="15" outlineLevelCol="5"/>
  <cols>
    <col min="1" max="1" width="12.7142857142857" customWidth="1"/>
    <col min="2" max="2" width="16.2857142857143" customWidth="1"/>
    <col min="3" max="3" width="11.7142857142857" customWidth="1"/>
    <col min="4" max="4" width="11" customWidth="1"/>
    <col min="5" max="5" width="18.5714285714286" customWidth="1"/>
    <col min="6" max="6" width="9.8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7</v>
      </c>
      <c r="D2" t="s">
        <v>8</v>
      </c>
      <c r="E2">
        <v>81</v>
      </c>
      <c r="F2" t="s">
        <v>9</v>
      </c>
    </row>
    <row r="3" spans="1:6">
      <c r="A3">
        <v>102</v>
      </c>
      <c r="B3" t="s">
        <v>10</v>
      </c>
      <c r="C3" t="s">
        <v>11</v>
      </c>
      <c r="D3" t="s">
        <v>12</v>
      </c>
      <c r="E3">
        <v>45</v>
      </c>
      <c r="F3" t="s">
        <v>13</v>
      </c>
    </row>
    <row r="4" spans="1:6">
      <c r="A4">
        <v>103</v>
      </c>
      <c r="B4" t="s">
        <v>14</v>
      </c>
      <c r="C4" t="s">
        <v>7</v>
      </c>
      <c r="D4" t="s">
        <v>15</v>
      </c>
      <c r="E4">
        <v>73</v>
      </c>
      <c r="F4" t="s">
        <v>16</v>
      </c>
    </row>
    <row r="5" spans="1:6">
      <c r="A5">
        <v>104</v>
      </c>
      <c r="B5" t="s">
        <v>17</v>
      </c>
      <c r="C5" t="s">
        <v>7</v>
      </c>
      <c r="D5" t="s">
        <v>15</v>
      </c>
      <c r="E5">
        <v>30</v>
      </c>
      <c r="F5" t="s">
        <v>16</v>
      </c>
    </row>
    <row r="6" spans="1:6">
      <c r="A6">
        <v>105</v>
      </c>
      <c r="B6" t="s">
        <v>18</v>
      </c>
      <c r="C6" t="s">
        <v>19</v>
      </c>
      <c r="D6" t="s">
        <v>20</v>
      </c>
      <c r="E6">
        <v>38</v>
      </c>
      <c r="F6" t="s">
        <v>16</v>
      </c>
    </row>
    <row r="7" spans="1:6">
      <c r="A7">
        <v>106</v>
      </c>
      <c r="B7" t="s">
        <v>21</v>
      </c>
      <c r="C7" t="s">
        <v>22</v>
      </c>
      <c r="D7" t="s">
        <v>23</v>
      </c>
      <c r="E7">
        <v>95</v>
      </c>
      <c r="F7" t="s">
        <v>13</v>
      </c>
    </row>
    <row r="8" spans="1:6">
      <c r="A8">
        <v>107</v>
      </c>
      <c r="B8" t="s">
        <v>24</v>
      </c>
      <c r="C8" t="s">
        <v>22</v>
      </c>
      <c r="D8" t="s">
        <v>23</v>
      </c>
      <c r="E8">
        <v>57</v>
      </c>
      <c r="F8" t="s">
        <v>25</v>
      </c>
    </row>
    <row r="9" spans="1:6">
      <c r="A9">
        <v>108</v>
      </c>
      <c r="B9" t="s">
        <v>26</v>
      </c>
      <c r="C9" t="s">
        <v>7</v>
      </c>
      <c r="D9" t="s">
        <v>8</v>
      </c>
      <c r="E9">
        <v>61</v>
      </c>
      <c r="F9" t="s">
        <v>27</v>
      </c>
    </row>
    <row r="10" spans="1:6">
      <c r="A10">
        <v>109</v>
      </c>
      <c r="B10" t="s">
        <v>28</v>
      </c>
      <c r="C10" t="s">
        <v>11</v>
      </c>
      <c r="D10" t="s">
        <v>12</v>
      </c>
      <c r="E10">
        <v>42</v>
      </c>
      <c r="F10" t="s">
        <v>16</v>
      </c>
    </row>
    <row r="11" spans="1:6">
      <c r="A11">
        <v>110</v>
      </c>
      <c r="B11" t="s">
        <v>29</v>
      </c>
      <c r="C11" t="s">
        <v>11</v>
      </c>
      <c r="D11" t="s">
        <v>12</v>
      </c>
      <c r="E11">
        <v>84</v>
      </c>
      <c r="F11" t="s">
        <v>27</v>
      </c>
    </row>
    <row r="12" spans="1:6">
      <c r="A12">
        <v>111</v>
      </c>
      <c r="B12" t="s">
        <v>30</v>
      </c>
      <c r="C12" t="s">
        <v>11</v>
      </c>
      <c r="D12" t="s">
        <v>12</v>
      </c>
      <c r="E12">
        <v>42</v>
      </c>
      <c r="F12" t="s">
        <v>16</v>
      </c>
    </row>
    <row r="13" spans="1:6">
      <c r="A13">
        <v>112</v>
      </c>
      <c r="B13" t="s">
        <v>31</v>
      </c>
      <c r="C13" t="s">
        <v>11</v>
      </c>
      <c r="D13" t="s">
        <v>12</v>
      </c>
      <c r="E13">
        <v>43</v>
      </c>
      <c r="F13" t="s">
        <v>13</v>
      </c>
    </row>
    <row r="14" spans="1:6">
      <c r="A14">
        <v>113</v>
      </c>
      <c r="B14" t="s">
        <v>32</v>
      </c>
      <c r="C14" t="s">
        <v>7</v>
      </c>
      <c r="D14" t="s">
        <v>15</v>
      </c>
      <c r="E14">
        <v>98</v>
      </c>
      <c r="F14" t="s">
        <v>27</v>
      </c>
    </row>
    <row r="15" spans="1:6">
      <c r="A15">
        <v>114</v>
      </c>
      <c r="B15" t="s">
        <v>33</v>
      </c>
      <c r="C15" t="s">
        <v>7</v>
      </c>
      <c r="D15" t="s">
        <v>8</v>
      </c>
      <c r="E15">
        <v>53</v>
      </c>
      <c r="F15" t="s">
        <v>9</v>
      </c>
    </row>
    <row r="16" spans="1:6">
      <c r="A16">
        <v>115</v>
      </c>
      <c r="B16" t="s">
        <v>34</v>
      </c>
      <c r="C16" t="s">
        <v>11</v>
      </c>
      <c r="D16" t="s">
        <v>12</v>
      </c>
      <c r="E16">
        <v>39</v>
      </c>
      <c r="F16" t="s">
        <v>27</v>
      </c>
    </row>
    <row r="17" spans="1:6">
      <c r="A17">
        <v>116</v>
      </c>
      <c r="B17" t="s">
        <v>35</v>
      </c>
      <c r="C17" t="s">
        <v>19</v>
      </c>
      <c r="D17" t="s">
        <v>20</v>
      </c>
      <c r="E17">
        <v>99</v>
      </c>
      <c r="F17" t="s">
        <v>16</v>
      </c>
    </row>
    <row r="18" spans="1:6">
      <c r="A18">
        <v>117</v>
      </c>
      <c r="B18" t="s">
        <v>36</v>
      </c>
      <c r="C18" t="s">
        <v>19</v>
      </c>
      <c r="D18" t="s">
        <v>20</v>
      </c>
      <c r="E18">
        <v>51</v>
      </c>
      <c r="F18" t="s">
        <v>27</v>
      </c>
    </row>
    <row r="19" spans="1:6">
      <c r="A19">
        <v>118</v>
      </c>
      <c r="B19" t="s">
        <v>37</v>
      </c>
      <c r="C19" t="s">
        <v>11</v>
      </c>
      <c r="D19" t="s">
        <v>12</v>
      </c>
      <c r="E19">
        <v>57</v>
      </c>
      <c r="F19" t="s">
        <v>27</v>
      </c>
    </row>
    <row r="20" spans="1:6">
      <c r="A20">
        <v>119</v>
      </c>
      <c r="B20" t="s">
        <v>38</v>
      </c>
      <c r="C20" t="s">
        <v>19</v>
      </c>
      <c r="D20" t="s">
        <v>20</v>
      </c>
      <c r="E20">
        <v>78</v>
      </c>
      <c r="F20" t="s">
        <v>16</v>
      </c>
    </row>
    <row r="21" spans="1:6">
      <c r="A21">
        <v>120</v>
      </c>
      <c r="B21" t="s">
        <v>39</v>
      </c>
      <c r="C21" t="s">
        <v>11</v>
      </c>
      <c r="D21" t="s">
        <v>12</v>
      </c>
      <c r="E21">
        <v>88</v>
      </c>
      <c r="F2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zoomScale="70" zoomScaleNormal="70" topLeftCell="A9" workbookViewId="0">
      <selection activeCell="C44" sqref="C44"/>
    </sheetView>
  </sheetViews>
  <sheetFormatPr defaultColWidth="9" defaultRowHeight="15" outlineLevelCol="4"/>
  <cols>
    <col min="1" max="1" width="14.8571428571429"/>
    <col min="2" max="2" width="17.8571428571429"/>
    <col min="3" max="3" width="13.5714285714286"/>
    <col min="4" max="4" width="31.7142857142857"/>
    <col min="5" max="5" width="19.1428571428571"/>
    <col min="11" max="11" width="13.1428571428571" customWidth="1"/>
    <col min="12" max="12" width="17.8571428571429" customWidth="1"/>
  </cols>
  <sheetData>
    <row r="1" spans="4:5">
      <c r="D1" t="s">
        <v>40</v>
      </c>
      <c r="E1" t="s">
        <v>41</v>
      </c>
    </row>
    <row r="2" spans="4:5">
      <c r="D2" s="21" t="s">
        <v>14</v>
      </c>
      <c r="E2">
        <v>0.03</v>
      </c>
    </row>
    <row r="3" spans="1:5">
      <c r="A3" t="s">
        <v>40</v>
      </c>
      <c r="B3" t="s">
        <v>42</v>
      </c>
      <c r="D3" s="21" t="s">
        <v>30</v>
      </c>
      <c r="E3">
        <v>0.03</v>
      </c>
    </row>
    <row r="4" spans="1:5">
      <c r="A4" s="21" t="s">
        <v>11</v>
      </c>
      <c r="B4" s="22">
        <v>113806</v>
      </c>
      <c r="D4" s="21" t="s">
        <v>35</v>
      </c>
      <c r="E4">
        <v>0.03</v>
      </c>
    </row>
    <row r="5" spans="1:5">
      <c r="A5" s="21" t="s">
        <v>19</v>
      </c>
      <c r="B5" s="22">
        <v>124191</v>
      </c>
      <c r="D5" s="21" t="s">
        <v>17</v>
      </c>
      <c r="E5">
        <v>0.03</v>
      </c>
    </row>
    <row r="6" spans="1:5">
      <c r="A6" s="21" t="s">
        <v>7</v>
      </c>
      <c r="B6" s="22">
        <v>131605.833333333</v>
      </c>
      <c r="D6" s="21" t="s">
        <v>28</v>
      </c>
      <c r="E6">
        <v>0.03</v>
      </c>
    </row>
    <row r="7" spans="1:5">
      <c r="A7" s="21" t="s">
        <v>22</v>
      </c>
      <c r="B7" s="22">
        <v>146244</v>
      </c>
      <c r="D7" s="21" t="s">
        <v>18</v>
      </c>
      <c r="E7">
        <v>0.03</v>
      </c>
    </row>
    <row r="8" spans="1:5">
      <c r="A8" s="21" t="s">
        <v>43</v>
      </c>
      <c r="B8" s="22">
        <v>124466.75</v>
      </c>
      <c r="D8" s="21" t="s">
        <v>38</v>
      </c>
      <c r="E8">
        <v>0.03</v>
      </c>
    </row>
    <row r="9" spans="4:5">
      <c r="D9" s="21" t="s">
        <v>21</v>
      </c>
      <c r="E9">
        <v>0.04</v>
      </c>
    </row>
    <row r="10" spans="4:5">
      <c r="D10" s="21" t="s">
        <v>10</v>
      </c>
      <c r="E10">
        <v>0.04</v>
      </c>
    </row>
    <row r="11" spans="4:5">
      <c r="D11" s="21" t="s">
        <v>31</v>
      </c>
      <c r="E11">
        <v>0.04</v>
      </c>
    </row>
    <row r="12" spans="4:5">
      <c r="D12" s="21" t="s">
        <v>39</v>
      </c>
      <c r="E12">
        <v>0.05</v>
      </c>
    </row>
    <row r="13" spans="4:5">
      <c r="D13" s="21" t="s">
        <v>6</v>
      </c>
      <c r="E13">
        <v>0.05</v>
      </c>
    </row>
    <row r="14" spans="4:5">
      <c r="D14" s="21" t="s">
        <v>33</v>
      </c>
      <c r="E14">
        <v>0.05</v>
      </c>
    </row>
    <row r="15" spans="1:5">
      <c r="A15" t="s">
        <v>40</v>
      </c>
      <c r="B15" t="s">
        <v>44</v>
      </c>
      <c r="D15" s="21" t="s">
        <v>26</v>
      </c>
      <c r="E15">
        <v>0.06</v>
      </c>
    </row>
    <row r="16" spans="1:5">
      <c r="A16" s="21" t="s">
        <v>45</v>
      </c>
      <c r="B16">
        <v>5</v>
      </c>
      <c r="D16" s="21" t="s">
        <v>32</v>
      </c>
      <c r="E16">
        <v>0.06</v>
      </c>
    </row>
    <row r="17" spans="1:5">
      <c r="A17" s="21" t="s">
        <v>46</v>
      </c>
      <c r="B17">
        <v>4</v>
      </c>
      <c r="D17" s="21" t="s">
        <v>36</v>
      </c>
      <c r="E17">
        <v>0.06</v>
      </c>
    </row>
    <row r="18" spans="1:5">
      <c r="A18" s="21" t="s">
        <v>47</v>
      </c>
      <c r="B18">
        <v>4</v>
      </c>
      <c r="D18" s="21" t="s">
        <v>37</v>
      </c>
      <c r="E18">
        <v>0.06</v>
      </c>
    </row>
    <row r="19" spans="1:5">
      <c r="A19" s="21" t="s">
        <v>48</v>
      </c>
      <c r="B19">
        <v>7</v>
      </c>
      <c r="D19" s="21" t="s">
        <v>29</v>
      </c>
      <c r="E19">
        <v>0.06</v>
      </c>
    </row>
    <row r="20" spans="1:5">
      <c r="A20" s="21" t="s">
        <v>43</v>
      </c>
      <c r="B20">
        <v>20</v>
      </c>
      <c r="D20" s="21" t="s">
        <v>34</v>
      </c>
      <c r="E20">
        <v>0.06</v>
      </c>
    </row>
    <row r="21" spans="4:5">
      <c r="D21" s="21" t="s">
        <v>24</v>
      </c>
      <c r="E21">
        <v>0.07</v>
      </c>
    </row>
    <row r="22" spans="4:5">
      <c r="D22" s="21" t="s">
        <v>43</v>
      </c>
      <c r="E22">
        <v>0.91</v>
      </c>
    </row>
    <row r="24" spans="1:1">
      <c r="A24">
        <f>GETPIVOTDATA("Employee_Name",$A$15)</f>
        <v>20</v>
      </c>
    </row>
    <row r="27" spans="2:2">
      <c r="B27" cm="1">
        <f t="array" ref="B27:B28">B18:B19</f>
        <v>4</v>
      </c>
    </row>
    <row r="28" spans="2:2">
      <c r="B28">
        <v>7</v>
      </c>
    </row>
    <row r="31" spans="4:4">
      <c r="D31" t="s">
        <v>44</v>
      </c>
    </row>
    <row r="32" spans="1:4">
      <c r="A32" t="s">
        <v>40</v>
      </c>
      <c r="B32" t="s">
        <v>49</v>
      </c>
      <c r="D32">
        <v>20</v>
      </c>
    </row>
    <row r="33" spans="1:2">
      <c r="A33" s="21" t="s">
        <v>22</v>
      </c>
      <c r="B33" s="22">
        <v>292488</v>
      </c>
    </row>
    <row r="34" spans="1:2">
      <c r="A34" s="21" t="s">
        <v>19</v>
      </c>
      <c r="B34" s="22">
        <v>496764</v>
      </c>
    </row>
    <row r="35" spans="1:2">
      <c r="A35" s="21" t="s">
        <v>7</v>
      </c>
      <c r="B35" s="22">
        <v>789635</v>
      </c>
    </row>
    <row r="36" spans="1:2">
      <c r="A36" s="21" t="s">
        <v>11</v>
      </c>
      <c r="B36" s="22">
        <v>910448</v>
      </c>
    </row>
    <row r="37" spans="1:2">
      <c r="A37" s="21" t="s">
        <v>43</v>
      </c>
      <c r="B37" s="22">
        <v>2489335</v>
      </c>
    </row>
    <row r="39" spans="2:2">
      <c r="B39" s="23">
        <f>GETPIVOTDATA("Final Salary",$A$32)</f>
        <v>2489335</v>
      </c>
    </row>
    <row r="43" spans="1:2">
      <c r="A43" t="s">
        <v>40</v>
      </c>
      <c r="B43" t="s">
        <v>49</v>
      </c>
    </row>
    <row r="44" spans="1:4">
      <c r="A44" s="21" t="s">
        <v>46</v>
      </c>
      <c r="B44">
        <v>480886</v>
      </c>
      <c r="C44" t="s">
        <v>40</v>
      </c>
      <c r="D44" t="s">
        <v>50</v>
      </c>
    </row>
    <row r="45" spans="1:4">
      <c r="A45" s="21" t="s">
        <v>47</v>
      </c>
      <c r="B45">
        <v>515721</v>
      </c>
      <c r="C45" s="21" t="s">
        <v>45</v>
      </c>
      <c r="D45">
        <v>785100</v>
      </c>
    </row>
    <row r="46" spans="1:4">
      <c r="A46" s="21" t="s">
        <v>45</v>
      </c>
      <c r="B46">
        <v>710100</v>
      </c>
      <c r="C46" s="21" t="s">
        <v>46</v>
      </c>
      <c r="D46">
        <v>540886</v>
      </c>
    </row>
    <row r="47" spans="1:4">
      <c r="A47" s="21" t="s">
        <v>48</v>
      </c>
      <c r="B47">
        <v>782628</v>
      </c>
      <c r="C47" s="21" t="s">
        <v>47</v>
      </c>
      <c r="D47">
        <v>575721</v>
      </c>
    </row>
    <row r="48" spans="1:4">
      <c r="A48" s="21" t="s">
        <v>43</v>
      </c>
      <c r="B48">
        <v>2489335</v>
      </c>
      <c r="C48" s="21" t="s">
        <v>48</v>
      </c>
      <c r="D48">
        <v>887628</v>
      </c>
    </row>
    <row r="49" spans="3:4">
      <c r="C49" s="21" t="s">
        <v>43</v>
      </c>
      <c r="D49">
        <v>2789335</v>
      </c>
    </row>
    <row r="51" spans="1:5">
      <c r="A51" t="s">
        <v>40</v>
      </c>
      <c r="B51" t="s">
        <v>41</v>
      </c>
      <c r="D51" t="s">
        <v>40</v>
      </c>
      <c r="E51" t="s">
        <v>49</v>
      </c>
    </row>
    <row r="52" spans="1:5">
      <c r="A52" s="21" t="s">
        <v>14</v>
      </c>
      <c r="B52">
        <v>0.03</v>
      </c>
      <c r="D52" s="21" t="s">
        <v>22</v>
      </c>
      <c r="E52">
        <v>292488</v>
      </c>
    </row>
    <row r="53" spans="1:5">
      <c r="A53" s="21" t="s">
        <v>30</v>
      </c>
      <c r="B53">
        <v>0.03</v>
      </c>
      <c r="D53" s="21" t="s">
        <v>19</v>
      </c>
      <c r="E53">
        <v>496764</v>
      </c>
    </row>
    <row r="54" spans="1:5">
      <c r="A54" s="21" t="s">
        <v>35</v>
      </c>
      <c r="B54">
        <v>0.03</v>
      </c>
      <c r="D54" s="21" t="s">
        <v>7</v>
      </c>
      <c r="E54">
        <v>789635</v>
      </c>
    </row>
    <row r="55" spans="1:5">
      <c r="A55" s="21" t="s">
        <v>17</v>
      </c>
      <c r="B55">
        <v>0.03</v>
      </c>
      <c r="D55" s="21" t="s">
        <v>11</v>
      </c>
      <c r="E55">
        <v>910448</v>
      </c>
    </row>
    <row r="56" spans="1:5">
      <c r="A56" s="21" t="s">
        <v>28</v>
      </c>
      <c r="B56">
        <v>0.03</v>
      </c>
      <c r="D56" s="21" t="s">
        <v>43</v>
      </c>
      <c r="E56">
        <v>2489335</v>
      </c>
    </row>
    <row r="57" spans="1:5">
      <c r="A57" s="21" t="s">
        <v>18</v>
      </c>
      <c r="B57">
        <v>0.03</v>
      </c>
      <c r="D57" t="s">
        <v>40</v>
      </c>
      <c r="E57" t="s">
        <v>44</v>
      </c>
    </row>
    <row r="58" spans="1:5">
      <c r="A58" s="21" t="s">
        <v>38</v>
      </c>
      <c r="B58">
        <v>0.03</v>
      </c>
      <c r="D58" s="21" t="s">
        <v>46</v>
      </c>
      <c r="E58">
        <v>4</v>
      </c>
    </row>
    <row r="59" spans="1:5">
      <c r="A59" s="21" t="s">
        <v>21</v>
      </c>
      <c r="B59">
        <v>0.04</v>
      </c>
      <c r="D59" s="21" t="s">
        <v>47</v>
      </c>
      <c r="E59">
        <v>4</v>
      </c>
    </row>
    <row r="60" spans="1:5">
      <c r="A60" s="21" t="s">
        <v>10</v>
      </c>
      <c r="B60">
        <v>0.04</v>
      </c>
      <c r="D60" s="21" t="s">
        <v>45</v>
      </c>
      <c r="E60">
        <v>5</v>
      </c>
    </row>
    <row r="61" spans="1:5">
      <c r="A61" s="21" t="s">
        <v>31</v>
      </c>
      <c r="B61">
        <v>0.04</v>
      </c>
      <c r="D61" s="21" t="s">
        <v>48</v>
      </c>
      <c r="E61">
        <v>7</v>
      </c>
    </row>
    <row r="62" spans="1:5">
      <c r="A62" s="21" t="s">
        <v>39</v>
      </c>
      <c r="B62">
        <v>0.05</v>
      </c>
      <c r="D62" s="21" t="s">
        <v>43</v>
      </c>
      <c r="E62">
        <v>20</v>
      </c>
    </row>
    <row r="63" spans="1:2">
      <c r="A63" s="21" t="s">
        <v>6</v>
      </c>
      <c r="B63">
        <v>0.05</v>
      </c>
    </row>
    <row r="64" spans="1:2">
      <c r="A64" s="21" t="s">
        <v>33</v>
      </c>
      <c r="B64">
        <v>0.05</v>
      </c>
    </row>
    <row r="65" spans="1:2">
      <c r="A65" s="21" t="s">
        <v>26</v>
      </c>
      <c r="B65">
        <v>0.06</v>
      </c>
    </row>
    <row r="66" spans="1:2">
      <c r="A66" s="21" t="s">
        <v>32</v>
      </c>
      <c r="B66">
        <v>0.06</v>
      </c>
    </row>
    <row r="67" spans="1:2">
      <c r="A67" s="21" t="s">
        <v>36</v>
      </c>
      <c r="B67">
        <v>0.06</v>
      </c>
    </row>
    <row r="68" spans="1:2">
      <c r="A68" s="21" t="s">
        <v>37</v>
      </c>
      <c r="B68">
        <v>0.06</v>
      </c>
    </row>
    <row r="69" spans="1:2">
      <c r="A69" s="21" t="s">
        <v>29</v>
      </c>
      <c r="B69">
        <v>0.06</v>
      </c>
    </row>
    <row r="70" spans="1:2">
      <c r="A70" s="21" t="s">
        <v>34</v>
      </c>
      <c r="B70">
        <v>0.06</v>
      </c>
    </row>
    <row r="71" spans="1:2">
      <c r="A71" s="21" t="s">
        <v>24</v>
      </c>
      <c r="B71">
        <v>0.07</v>
      </c>
    </row>
    <row r="72" spans="1:2">
      <c r="A72" s="21" t="s">
        <v>43</v>
      </c>
      <c r="B72">
        <v>0.91</v>
      </c>
    </row>
  </sheetData>
  <pageMargins left="0.7" right="0.7" top="0.75" bottom="0.75" header="0.3" footer="0.3"/>
  <headerFooter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zoomScale="85" zoomScaleNormal="85" topLeftCell="N2" workbookViewId="0">
      <selection activeCell="T13" sqref="T13"/>
    </sheetView>
  </sheetViews>
  <sheetFormatPr defaultColWidth="9" defaultRowHeight="15"/>
  <cols>
    <col min="1" max="1" width="12.8571428571429" customWidth="1"/>
    <col min="2" max="2" width="16.2857142857143" customWidth="1"/>
    <col min="3" max="3" width="12" customWidth="1"/>
    <col min="4" max="4" width="11.1428571428571" customWidth="1"/>
    <col min="5" max="5" width="18.5714285714286" customWidth="1"/>
    <col min="6" max="6" width="9.85714285714286" customWidth="1"/>
    <col min="7" max="7" width="23.8571428571429" customWidth="1"/>
    <col min="8" max="9" width="21.8571428571429" customWidth="1"/>
    <col min="10" max="10" width="15.1428571428571" customWidth="1"/>
    <col min="11" max="11" width="24" customWidth="1"/>
    <col min="12" max="12" width="17.8571428571429" customWidth="1"/>
    <col min="15" max="15" width="11.2857142857143" customWidth="1"/>
    <col min="16" max="16" width="11.4285714285714" customWidth="1"/>
    <col min="18" max="18" width="21.8571428571429" customWidth="1"/>
    <col min="19" max="19" width="17" customWidth="1"/>
    <col min="28" max="28" width="24.5714285714286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51</v>
      </c>
      <c r="H1" s="7" t="s">
        <v>52</v>
      </c>
      <c r="I1" s="11" t="s">
        <v>53</v>
      </c>
      <c r="J1" s="6" t="s">
        <v>54</v>
      </c>
      <c r="K1" s="7" t="s">
        <v>55</v>
      </c>
      <c r="L1" s="7" t="s">
        <v>56</v>
      </c>
    </row>
    <row r="2" spans="1:19">
      <c r="A2" s="6"/>
      <c r="B2" s="6"/>
      <c r="C2" s="6"/>
      <c r="D2" s="6"/>
      <c r="E2" s="6"/>
      <c r="F2" s="6"/>
      <c r="G2" s="7"/>
      <c r="H2" s="7"/>
      <c r="I2" s="11"/>
      <c r="J2" s="6"/>
      <c r="K2" s="7"/>
      <c r="L2" s="7"/>
      <c r="R2" s="12" t="s">
        <v>57</v>
      </c>
      <c r="S2" s="12"/>
    </row>
    <row r="3" spans="1:19">
      <c r="A3" s="8">
        <v>101</v>
      </c>
      <c r="B3" s="8" t="s">
        <v>6</v>
      </c>
      <c r="C3" s="8" t="s">
        <v>7</v>
      </c>
      <c r="D3" s="8" t="s">
        <v>8</v>
      </c>
      <c r="E3" s="8">
        <v>81</v>
      </c>
      <c r="F3" s="9">
        <v>0.05</v>
      </c>
      <c r="G3" s="10" cm="1">
        <f t="array" ref="G3:G22">VLOOKUP(D3:D22,O18:P22,2,FALSE)</f>
        <v>150000</v>
      </c>
      <c r="H3" s="8" t="str">
        <f>IF(E3&gt;=85,"Excllent",IF(70&lt;=E3,"Good",IF(50&lt;=E3,"Average",IF(E3&lt;50,"Poor","Bad"))))</f>
        <v>Good</v>
      </c>
      <c r="I3" s="10">
        <f t="shared" ref="I3:I22" si="0">F3/1*G3+G3</f>
        <v>157500</v>
      </c>
      <c r="J3" s="10">
        <f t="shared" ref="J3:J22" si="1">IF(H3="Excellent",I3*1.05,IF(H3="Good",I3*1.03,IF(H3="Average",I3,I3*0.98)))</f>
        <v>162225</v>
      </c>
      <c r="K3" s="10">
        <f t="shared" ref="K3:K22" si="2">J3+J$26</f>
        <v>177225</v>
      </c>
      <c r="L3" s="10">
        <f t="shared" ref="L3:L22" si="3">K3+J$26</f>
        <v>192225</v>
      </c>
      <c r="R3" s="12"/>
      <c r="S3" s="12"/>
    </row>
    <row r="4" spans="1:19">
      <c r="A4" s="8">
        <v>102</v>
      </c>
      <c r="B4" s="8" t="s">
        <v>10</v>
      </c>
      <c r="C4" s="8" t="s">
        <v>11</v>
      </c>
      <c r="D4" s="8" t="s">
        <v>12</v>
      </c>
      <c r="E4" s="8">
        <v>45</v>
      </c>
      <c r="F4" s="9">
        <v>0.04</v>
      </c>
      <c r="G4" s="10">
        <v>110000</v>
      </c>
      <c r="H4" s="8" t="str">
        <f t="shared" ref="H4:H22" si="4">IF(E4&gt;=85,"Excllent",IF(70&lt;=E4,"Good",IF(50&lt;=E4,"Average",IF(E4&lt;50,"Poor","Bad"))))</f>
        <v>Poor</v>
      </c>
      <c r="I4" s="10">
        <f t="shared" si="0"/>
        <v>114400</v>
      </c>
      <c r="J4" s="10">
        <f t="shared" si="1"/>
        <v>112112</v>
      </c>
      <c r="K4" s="10">
        <f t="shared" si="2"/>
        <v>127112</v>
      </c>
      <c r="L4" s="10">
        <f t="shared" si="3"/>
        <v>142112</v>
      </c>
      <c r="R4" s="13" t="s">
        <v>52</v>
      </c>
      <c r="S4" s="13" t="s">
        <v>58</v>
      </c>
    </row>
    <row r="5" spans="1:19">
      <c r="A5" s="8">
        <v>103</v>
      </c>
      <c r="B5" s="8" t="s">
        <v>14</v>
      </c>
      <c r="C5" s="8" t="s">
        <v>7</v>
      </c>
      <c r="D5" s="8" t="s">
        <v>15</v>
      </c>
      <c r="E5" s="8">
        <v>73</v>
      </c>
      <c r="F5" s="9">
        <v>0.03</v>
      </c>
      <c r="G5" s="10">
        <v>100000</v>
      </c>
      <c r="H5" s="8" t="str">
        <f t="shared" si="4"/>
        <v>Good</v>
      </c>
      <c r="I5" s="10">
        <f t="shared" si="0"/>
        <v>103000</v>
      </c>
      <c r="J5" s="10">
        <f t="shared" si="1"/>
        <v>106090</v>
      </c>
      <c r="K5" s="10">
        <f t="shared" si="2"/>
        <v>121090</v>
      </c>
      <c r="L5" s="10">
        <f t="shared" si="3"/>
        <v>136090</v>
      </c>
      <c r="R5" s="14" t="s">
        <v>46</v>
      </c>
      <c r="S5" s="8">
        <v>4</v>
      </c>
    </row>
    <row r="6" spans="1:19">
      <c r="A6" s="8">
        <v>104</v>
      </c>
      <c r="B6" s="8" t="s">
        <v>17</v>
      </c>
      <c r="C6" s="8" t="s">
        <v>7</v>
      </c>
      <c r="D6" s="8" t="s">
        <v>15</v>
      </c>
      <c r="E6" s="8">
        <v>30</v>
      </c>
      <c r="F6" s="9">
        <v>0.03</v>
      </c>
      <c r="G6" s="10">
        <v>100000</v>
      </c>
      <c r="H6" s="8" t="str">
        <f t="shared" si="4"/>
        <v>Poor</v>
      </c>
      <c r="I6" s="10">
        <f t="shared" si="0"/>
        <v>103000</v>
      </c>
      <c r="J6" s="10">
        <f t="shared" si="1"/>
        <v>100940</v>
      </c>
      <c r="K6" s="10">
        <f t="shared" si="2"/>
        <v>115940</v>
      </c>
      <c r="L6" s="10">
        <f t="shared" si="3"/>
        <v>130940</v>
      </c>
      <c r="R6" s="14" t="s">
        <v>47</v>
      </c>
      <c r="S6" s="8">
        <v>4</v>
      </c>
    </row>
    <row r="7" spans="1:19">
      <c r="A7" s="8">
        <v>105</v>
      </c>
      <c r="B7" s="8" t="s">
        <v>18</v>
      </c>
      <c r="C7" s="8" t="s">
        <v>19</v>
      </c>
      <c r="D7" s="8" t="s">
        <v>20</v>
      </c>
      <c r="E7" s="8">
        <v>38</v>
      </c>
      <c r="F7" s="9">
        <v>0.03</v>
      </c>
      <c r="G7" s="10">
        <v>120000</v>
      </c>
      <c r="H7" s="8" t="str">
        <f t="shared" si="4"/>
        <v>Poor</v>
      </c>
      <c r="I7" s="10">
        <f t="shared" si="0"/>
        <v>123600</v>
      </c>
      <c r="J7" s="10">
        <f t="shared" si="1"/>
        <v>121128</v>
      </c>
      <c r="K7" s="10">
        <f t="shared" si="2"/>
        <v>136128</v>
      </c>
      <c r="L7" s="10">
        <f t="shared" si="3"/>
        <v>151128</v>
      </c>
      <c r="R7" s="14" t="s">
        <v>45</v>
      </c>
      <c r="S7" s="8">
        <v>5</v>
      </c>
    </row>
    <row r="8" spans="1:19">
      <c r="A8" s="8">
        <v>106</v>
      </c>
      <c r="B8" s="8" t="s">
        <v>21</v>
      </c>
      <c r="C8" s="8" t="s">
        <v>22</v>
      </c>
      <c r="D8" s="8" t="s">
        <v>23</v>
      </c>
      <c r="E8" s="8">
        <v>95</v>
      </c>
      <c r="F8" s="9">
        <v>0.04</v>
      </c>
      <c r="G8" s="10">
        <v>140000</v>
      </c>
      <c r="H8" s="8" t="str">
        <f t="shared" si="4"/>
        <v>Excllent</v>
      </c>
      <c r="I8" s="10">
        <f t="shared" si="0"/>
        <v>145600</v>
      </c>
      <c r="J8" s="10">
        <f t="shared" si="1"/>
        <v>142688</v>
      </c>
      <c r="K8" s="10">
        <f t="shared" si="2"/>
        <v>157688</v>
      </c>
      <c r="L8" s="10">
        <f t="shared" si="3"/>
        <v>172688</v>
      </c>
      <c r="R8" s="14" t="s">
        <v>48</v>
      </c>
      <c r="S8" s="8">
        <v>7</v>
      </c>
    </row>
    <row r="9" spans="1:12">
      <c r="A9" s="8">
        <v>107</v>
      </c>
      <c r="B9" s="8" t="s">
        <v>24</v>
      </c>
      <c r="C9" s="8" t="s">
        <v>22</v>
      </c>
      <c r="D9" s="8" t="s">
        <v>23</v>
      </c>
      <c r="E9" s="8">
        <v>57</v>
      </c>
      <c r="F9" s="9">
        <v>0.07</v>
      </c>
      <c r="G9" s="10">
        <v>140000</v>
      </c>
      <c r="H9" s="8" t="str">
        <f t="shared" si="4"/>
        <v>Average</v>
      </c>
      <c r="I9" s="10">
        <f t="shared" si="0"/>
        <v>149800</v>
      </c>
      <c r="J9" s="10">
        <f t="shared" si="1"/>
        <v>149800</v>
      </c>
      <c r="K9" s="10">
        <f t="shared" si="2"/>
        <v>164800</v>
      </c>
      <c r="L9" s="10">
        <f t="shared" si="3"/>
        <v>179800</v>
      </c>
    </row>
    <row r="10" spans="1:12">
      <c r="A10" s="8">
        <v>108</v>
      </c>
      <c r="B10" s="8" t="s">
        <v>26</v>
      </c>
      <c r="C10" s="8" t="s">
        <v>7</v>
      </c>
      <c r="D10" s="8" t="s">
        <v>8</v>
      </c>
      <c r="E10" s="8">
        <v>61</v>
      </c>
      <c r="F10" s="9">
        <v>0.06</v>
      </c>
      <c r="G10" s="10">
        <v>150000</v>
      </c>
      <c r="H10" s="8" t="str">
        <f t="shared" si="4"/>
        <v>Average</v>
      </c>
      <c r="I10" s="10">
        <f t="shared" si="0"/>
        <v>159000</v>
      </c>
      <c r="J10" s="10">
        <f t="shared" si="1"/>
        <v>159000</v>
      </c>
      <c r="K10" s="10">
        <f t="shared" si="2"/>
        <v>174000</v>
      </c>
      <c r="L10" s="10">
        <f t="shared" si="3"/>
        <v>189000</v>
      </c>
    </row>
    <row r="11" spans="1:19">
      <c r="A11" s="8">
        <v>109</v>
      </c>
      <c r="B11" s="8" t="s">
        <v>28</v>
      </c>
      <c r="C11" s="8" t="s">
        <v>11</v>
      </c>
      <c r="D11" s="8" t="s">
        <v>12</v>
      </c>
      <c r="E11" s="8">
        <v>42</v>
      </c>
      <c r="F11" s="9">
        <v>0.03</v>
      </c>
      <c r="G11" s="10">
        <v>110000</v>
      </c>
      <c r="H11" s="8" t="str">
        <f t="shared" si="4"/>
        <v>Poor</v>
      </c>
      <c r="I11" s="10">
        <f t="shared" si="0"/>
        <v>113300</v>
      </c>
      <c r="J11" s="10">
        <f t="shared" si="1"/>
        <v>111034</v>
      </c>
      <c r="K11" s="10">
        <f t="shared" si="2"/>
        <v>126034</v>
      </c>
      <c r="L11" s="10">
        <f t="shared" si="3"/>
        <v>141034</v>
      </c>
      <c r="R11" s="13" t="s">
        <v>2</v>
      </c>
      <c r="S11" s="13" t="s">
        <v>59</v>
      </c>
    </row>
    <row r="12" spans="1:19">
      <c r="A12" s="8">
        <v>110</v>
      </c>
      <c r="B12" s="8" t="s">
        <v>29</v>
      </c>
      <c r="C12" s="8" t="s">
        <v>11</v>
      </c>
      <c r="D12" s="8" t="s">
        <v>12</v>
      </c>
      <c r="E12" s="8">
        <v>84</v>
      </c>
      <c r="F12" s="9">
        <v>0.06</v>
      </c>
      <c r="G12" s="10">
        <v>110000</v>
      </c>
      <c r="H12" s="8" t="str">
        <f t="shared" si="4"/>
        <v>Good</v>
      </c>
      <c r="I12" s="10">
        <f t="shared" si="0"/>
        <v>116600</v>
      </c>
      <c r="J12" s="10">
        <f t="shared" si="1"/>
        <v>120098</v>
      </c>
      <c r="K12" s="10">
        <f t="shared" si="2"/>
        <v>135098</v>
      </c>
      <c r="L12" s="10">
        <f t="shared" si="3"/>
        <v>150098</v>
      </c>
      <c r="R12" s="14" t="s">
        <v>22</v>
      </c>
      <c r="S12" s="8">
        <v>292488</v>
      </c>
    </row>
    <row r="13" spans="1:19">
      <c r="A13" s="8">
        <v>111</v>
      </c>
      <c r="B13" s="8" t="s">
        <v>30</v>
      </c>
      <c r="C13" s="8" t="s">
        <v>11</v>
      </c>
      <c r="D13" s="8" t="s">
        <v>12</v>
      </c>
      <c r="E13" s="8">
        <v>42</v>
      </c>
      <c r="F13" s="9">
        <v>0.03</v>
      </c>
      <c r="G13" s="10">
        <v>110000</v>
      </c>
      <c r="H13" s="8" t="str">
        <f t="shared" si="4"/>
        <v>Poor</v>
      </c>
      <c r="I13" s="10">
        <f t="shared" si="0"/>
        <v>113300</v>
      </c>
      <c r="J13" s="10">
        <f t="shared" si="1"/>
        <v>111034</v>
      </c>
      <c r="K13" s="10">
        <f t="shared" si="2"/>
        <v>126034</v>
      </c>
      <c r="L13" s="10">
        <f t="shared" si="3"/>
        <v>141034</v>
      </c>
      <c r="R13" s="14" t="s">
        <v>19</v>
      </c>
      <c r="S13" s="8">
        <v>496764</v>
      </c>
    </row>
    <row r="14" spans="1:19">
      <c r="A14" s="8">
        <v>112</v>
      </c>
      <c r="B14" s="8" t="s">
        <v>31</v>
      </c>
      <c r="C14" s="8" t="s">
        <v>11</v>
      </c>
      <c r="D14" s="8" t="s">
        <v>12</v>
      </c>
      <c r="E14" s="8">
        <v>43</v>
      </c>
      <c r="F14" s="9">
        <v>0.04</v>
      </c>
      <c r="G14" s="10">
        <v>110000</v>
      </c>
      <c r="H14" s="8" t="str">
        <f t="shared" si="4"/>
        <v>Poor</v>
      </c>
      <c r="I14" s="10">
        <f t="shared" si="0"/>
        <v>114400</v>
      </c>
      <c r="J14" s="10">
        <f t="shared" si="1"/>
        <v>112112</v>
      </c>
      <c r="K14" s="10">
        <f t="shared" si="2"/>
        <v>127112</v>
      </c>
      <c r="L14" s="10">
        <f t="shared" si="3"/>
        <v>142112</v>
      </c>
      <c r="R14" s="14" t="s">
        <v>7</v>
      </c>
      <c r="S14" s="8">
        <v>789635</v>
      </c>
    </row>
    <row r="15" spans="1:21">
      <c r="A15" s="8">
        <v>113</v>
      </c>
      <c r="B15" s="8" t="s">
        <v>32</v>
      </c>
      <c r="C15" s="8" t="s">
        <v>7</v>
      </c>
      <c r="D15" s="8" t="s">
        <v>15</v>
      </c>
      <c r="E15" s="8">
        <v>98</v>
      </c>
      <c r="F15" s="9">
        <v>0.06</v>
      </c>
      <c r="G15" s="10">
        <v>100000</v>
      </c>
      <c r="H15" s="8" t="str">
        <f t="shared" si="4"/>
        <v>Excllent</v>
      </c>
      <c r="I15" s="10">
        <f t="shared" si="0"/>
        <v>106000</v>
      </c>
      <c r="J15" s="10">
        <f t="shared" si="1"/>
        <v>103880</v>
      </c>
      <c r="K15" s="10">
        <f t="shared" si="2"/>
        <v>118880</v>
      </c>
      <c r="L15" s="10">
        <f t="shared" si="3"/>
        <v>133880</v>
      </c>
      <c r="R15" s="14" t="s">
        <v>11</v>
      </c>
      <c r="S15" s="8">
        <v>910448</v>
      </c>
      <c r="U15" s="15"/>
    </row>
    <row r="16" spans="1:19">
      <c r="A16" s="8">
        <v>114</v>
      </c>
      <c r="B16" s="8" t="s">
        <v>33</v>
      </c>
      <c r="C16" s="8" t="s">
        <v>7</v>
      </c>
      <c r="D16" s="8" t="s">
        <v>8</v>
      </c>
      <c r="E16" s="8">
        <v>53</v>
      </c>
      <c r="F16" s="9">
        <v>0.05</v>
      </c>
      <c r="G16" s="10">
        <v>150000</v>
      </c>
      <c r="H16" s="8" t="str">
        <f t="shared" si="4"/>
        <v>Average</v>
      </c>
      <c r="I16" s="10">
        <f t="shared" si="0"/>
        <v>157500</v>
      </c>
      <c r="J16" s="10">
        <f t="shared" si="1"/>
        <v>157500</v>
      </c>
      <c r="K16" s="10">
        <f t="shared" si="2"/>
        <v>172500</v>
      </c>
      <c r="L16" s="10">
        <f t="shared" si="3"/>
        <v>187500</v>
      </c>
      <c r="R16" s="16" t="s">
        <v>43</v>
      </c>
      <c r="S16" s="15">
        <v>2489335</v>
      </c>
    </row>
    <row r="17" spans="1:16">
      <c r="A17" s="8">
        <v>115</v>
      </c>
      <c r="B17" s="8" t="s">
        <v>34</v>
      </c>
      <c r="C17" s="8" t="s">
        <v>11</v>
      </c>
      <c r="D17" s="8" t="s">
        <v>12</v>
      </c>
      <c r="E17" s="8">
        <v>39</v>
      </c>
      <c r="F17" s="9">
        <v>0.06</v>
      </c>
      <c r="G17" s="10">
        <v>110000</v>
      </c>
      <c r="H17" s="8" t="str">
        <f t="shared" si="4"/>
        <v>Poor</v>
      </c>
      <c r="I17" s="10">
        <f t="shared" si="0"/>
        <v>116600</v>
      </c>
      <c r="J17" s="10">
        <f t="shared" si="1"/>
        <v>114268</v>
      </c>
      <c r="K17" s="10">
        <f t="shared" si="2"/>
        <v>129268</v>
      </c>
      <c r="L17" s="10">
        <f t="shared" si="3"/>
        <v>144268</v>
      </c>
      <c r="O17" s="1" t="s">
        <v>3</v>
      </c>
      <c r="P17" s="1" t="s">
        <v>60</v>
      </c>
    </row>
    <row r="18" spans="1:16">
      <c r="A18" s="8">
        <v>116</v>
      </c>
      <c r="B18" s="8" t="s">
        <v>35</v>
      </c>
      <c r="C18" s="8" t="s">
        <v>19</v>
      </c>
      <c r="D18" s="8" t="s">
        <v>20</v>
      </c>
      <c r="E18" s="8">
        <v>99</v>
      </c>
      <c r="F18" s="9">
        <v>0.03</v>
      </c>
      <c r="G18" s="10">
        <v>120000</v>
      </c>
      <c r="H18" s="8" t="str">
        <f t="shared" si="4"/>
        <v>Excllent</v>
      </c>
      <c r="I18" s="10">
        <f t="shared" si="0"/>
        <v>123600</v>
      </c>
      <c r="J18" s="10">
        <f t="shared" si="1"/>
        <v>121128</v>
      </c>
      <c r="K18" s="10">
        <f t="shared" si="2"/>
        <v>136128</v>
      </c>
      <c r="L18" s="10">
        <f t="shared" si="3"/>
        <v>151128</v>
      </c>
      <c r="O18" t="s">
        <v>20</v>
      </c>
      <c r="P18">
        <v>120000</v>
      </c>
    </row>
    <row r="19" spans="1:27">
      <c r="A19" s="8">
        <v>117</v>
      </c>
      <c r="B19" s="8" t="s">
        <v>36</v>
      </c>
      <c r="C19" s="8" t="s">
        <v>19</v>
      </c>
      <c r="D19" s="8" t="s">
        <v>20</v>
      </c>
      <c r="E19" s="8">
        <v>51</v>
      </c>
      <c r="F19" s="9">
        <v>0.06</v>
      </c>
      <c r="G19" s="10">
        <v>120000</v>
      </c>
      <c r="H19" s="8" t="str">
        <f t="shared" si="4"/>
        <v>Average</v>
      </c>
      <c r="I19" s="10">
        <f t="shared" si="0"/>
        <v>127200</v>
      </c>
      <c r="J19" s="10">
        <f t="shared" si="1"/>
        <v>127200</v>
      </c>
      <c r="K19" s="10">
        <f t="shared" si="2"/>
        <v>142200</v>
      </c>
      <c r="L19" s="10">
        <f t="shared" si="3"/>
        <v>157200</v>
      </c>
      <c r="O19" t="s">
        <v>15</v>
      </c>
      <c r="P19">
        <v>100000</v>
      </c>
      <c r="R19" s="17" t="s">
        <v>3</v>
      </c>
      <c r="S19" s="17" t="s">
        <v>60</v>
      </c>
      <c r="AA19" s="18"/>
    </row>
    <row r="20" spans="1:27">
      <c r="A20" s="8">
        <v>118</v>
      </c>
      <c r="B20" s="8" t="s">
        <v>37</v>
      </c>
      <c r="C20" s="8" t="s">
        <v>11</v>
      </c>
      <c r="D20" s="8" t="s">
        <v>12</v>
      </c>
      <c r="E20" s="8">
        <v>57</v>
      </c>
      <c r="F20" s="9">
        <v>0.06</v>
      </c>
      <c r="G20" s="10">
        <v>110000</v>
      </c>
      <c r="H20" s="8" t="str">
        <f t="shared" si="4"/>
        <v>Average</v>
      </c>
      <c r="I20" s="10">
        <f t="shared" si="0"/>
        <v>116600</v>
      </c>
      <c r="J20" s="10">
        <f t="shared" si="1"/>
        <v>116600</v>
      </c>
      <c r="K20" s="10">
        <f t="shared" si="2"/>
        <v>131600</v>
      </c>
      <c r="L20" s="10">
        <f t="shared" si="3"/>
        <v>146600</v>
      </c>
      <c r="O20" t="s">
        <v>8</v>
      </c>
      <c r="P20">
        <v>150000</v>
      </c>
      <c r="R20" s="8" t="s">
        <v>20</v>
      </c>
      <c r="S20" s="8">
        <v>120000</v>
      </c>
      <c r="AA20" s="18"/>
    </row>
    <row r="21" spans="1:27">
      <c r="A21" s="8">
        <v>119</v>
      </c>
      <c r="B21" s="8" t="s">
        <v>38</v>
      </c>
      <c r="C21" s="8" t="s">
        <v>19</v>
      </c>
      <c r="D21" s="8" t="s">
        <v>20</v>
      </c>
      <c r="E21" s="8">
        <v>78</v>
      </c>
      <c r="F21" s="9">
        <v>0.03</v>
      </c>
      <c r="G21" s="10">
        <v>120000</v>
      </c>
      <c r="H21" s="8" t="str">
        <f t="shared" si="4"/>
        <v>Good</v>
      </c>
      <c r="I21" s="10">
        <f t="shared" si="0"/>
        <v>123600</v>
      </c>
      <c r="J21" s="10">
        <f t="shared" si="1"/>
        <v>127308</v>
      </c>
      <c r="K21" s="10">
        <f t="shared" si="2"/>
        <v>142308</v>
      </c>
      <c r="L21" s="10">
        <f t="shared" si="3"/>
        <v>157308</v>
      </c>
      <c r="O21" t="s">
        <v>23</v>
      </c>
      <c r="P21">
        <v>140000</v>
      </c>
      <c r="R21" s="8" t="s">
        <v>15</v>
      </c>
      <c r="S21" s="8">
        <v>100000</v>
      </c>
      <c r="AA21" s="18"/>
    </row>
    <row r="22" spans="1:27">
      <c r="A22" s="8">
        <v>120</v>
      </c>
      <c r="B22" s="8" t="s">
        <v>39</v>
      </c>
      <c r="C22" s="8" t="s">
        <v>11</v>
      </c>
      <c r="D22" s="8" t="s">
        <v>12</v>
      </c>
      <c r="E22" s="8">
        <v>88</v>
      </c>
      <c r="F22" s="9">
        <v>0.05</v>
      </c>
      <c r="G22" s="10">
        <v>110000</v>
      </c>
      <c r="H22" s="8" t="str">
        <f t="shared" si="4"/>
        <v>Excllent</v>
      </c>
      <c r="I22" s="10">
        <f t="shared" si="0"/>
        <v>115500</v>
      </c>
      <c r="J22" s="10">
        <f t="shared" si="1"/>
        <v>113190</v>
      </c>
      <c r="K22" s="10">
        <f t="shared" si="2"/>
        <v>128190</v>
      </c>
      <c r="L22" s="10">
        <f t="shared" si="3"/>
        <v>143190</v>
      </c>
      <c r="O22" t="s">
        <v>12</v>
      </c>
      <c r="P22">
        <v>110000</v>
      </c>
      <c r="R22" s="8" t="s">
        <v>8</v>
      </c>
      <c r="S22" s="8">
        <v>150000</v>
      </c>
      <c r="AA22" s="18"/>
    </row>
    <row r="23" spans="18:28">
      <c r="R23" s="8" t="s">
        <v>23</v>
      </c>
      <c r="S23" s="8">
        <v>140000</v>
      </c>
      <c r="AA23" s="19"/>
      <c r="AB23" s="20"/>
    </row>
    <row r="24" spans="18:19">
      <c r="R24" s="8" t="s">
        <v>12</v>
      </c>
      <c r="S24" s="8">
        <v>110000</v>
      </c>
    </row>
    <row r="26" spans="10:10">
      <c r="J26">
        <v>15000</v>
      </c>
    </row>
    <row r="35" spans="26:26">
      <c r="Z35" t="s">
        <v>61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R2:S3"/>
  </mergeCells>
  <conditionalFormatting sqref="E3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{a5fb4497-370c-4544-a163-6db8331167a7}</x14:id>
        </ext>
      </extLst>
    </cfRule>
  </conditionalFormatting>
  <conditionalFormatting sqref="H3:H22">
    <cfRule type="containsText" dxfId="2" priority="2" operator="between" text="a">
      <formula>NOT(ISERROR(SEARCH("a",H3)))</formula>
    </cfRule>
    <cfRule type="containsText" dxfId="3" priority="3" operator="between" text="e">
      <formula>NOT(ISERROR(SEARCH("e",H3)))</formula>
    </cfRule>
    <cfRule type="containsText" dxfId="4" priority="4" operator="between" text="p">
      <formula>NOT(ISERROR(SEARCH("p",H3)))</formula>
    </cfRule>
  </conditionalFormatting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fb4497-370c-4544-a163-6db833116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showGridLines="0" tabSelected="1" topLeftCell="A15" workbookViewId="0">
      <selection activeCell="E37" sqref="E37"/>
    </sheetView>
  </sheetViews>
  <sheetFormatPr defaultColWidth="9" defaultRowHeight="15" outlineLevelRow="5"/>
  <sheetData>
    <row r="1" customHeight="1" spans="1:28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">
      <c r="B4" s="3"/>
      <c r="C4" s="3"/>
    </row>
    <row r="5" spans="1:3">
      <c r="A5" s="3"/>
      <c r="B5" s="4"/>
      <c r="C5" s="5"/>
    </row>
    <row r="6" spans="1:3">
      <c r="A6" s="3"/>
      <c r="B6" s="5"/>
      <c r="C6" s="5"/>
    </row>
  </sheetData>
  <mergeCells count="2">
    <mergeCell ref="B5:C6"/>
    <mergeCell ref="A1:AB3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6" sqref="F6"/>
    </sheetView>
  </sheetViews>
  <sheetFormatPr defaultColWidth="9" defaultRowHeight="15" outlineLevelRow="5" outlineLevelCol="1"/>
  <sheetData>
    <row r="1" spans="1:2">
      <c r="A1" s="1" t="s">
        <v>3</v>
      </c>
      <c r="B1" s="1" t="s">
        <v>60</v>
      </c>
    </row>
    <row r="2" spans="1:2">
      <c r="A2" t="s">
        <v>20</v>
      </c>
      <c r="B2">
        <v>120000</v>
      </c>
    </row>
    <row r="3" spans="1:2">
      <c r="A3" t="s">
        <v>15</v>
      </c>
      <c r="B3">
        <v>100000</v>
      </c>
    </row>
    <row r="4" spans="1:2">
      <c r="A4" t="s">
        <v>8</v>
      </c>
      <c r="B4">
        <v>150000</v>
      </c>
    </row>
    <row r="5" spans="1:2">
      <c r="A5" t="s">
        <v>23</v>
      </c>
      <c r="B5">
        <v>140000</v>
      </c>
    </row>
    <row r="6" spans="1:2">
      <c r="A6" t="s">
        <v>12</v>
      </c>
      <c r="B6">
        <v>110000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9" defaultRowHeight="15" outlineLevelRow="5" outlineLevelCol="1"/>
  <cols>
    <col min="1" max="1" width="11" customWidth="1"/>
    <col min="2" max="2" width="11.4285714285714" customWidth="1"/>
  </cols>
  <sheetData>
    <row r="1" spans="1:2">
      <c r="A1" s="1" t="s">
        <v>3</v>
      </c>
      <c r="B1" s="1" t="s">
        <v>60</v>
      </c>
    </row>
    <row r="2" spans="1:2">
      <c r="A2" t="s">
        <v>20</v>
      </c>
      <c r="B2">
        <v>120000</v>
      </c>
    </row>
    <row r="3" spans="1:2">
      <c r="A3" t="s">
        <v>15</v>
      </c>
      <c r="B3">
        <v>100000</v>
      </c>
    </row>
    <row r="4" spans="1:2">
      <c r="A4" t="s">
        <v>8</v>
      </c>
      <c r="B4">
        <v>150000</v>
      </c>
    </row>
    <row r="5" spans="1:2">
      <c r="A5" t="s">
        <v>23</v>
      </c>
      <c r="B5">
        <v>140000</v>
      </c>
    </row>
    <row r="6" spans="1:2">
      <c r="A6" t="s">
        <v>12</v>
      </c>
      <c r="B6">
        <v>110000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Employee_Records</vt:lpstr>
      <vt:lpstr>PIVOT</vt:lpstr>
      <vt:lpstr>W Employee_Record</vt:lpstr>
      <vt:lpstr>DASHBOARD</vt:lpstr>
      <vt:lpstr>Salary_Structure</vt:lpstr>
      <vt:lpstr>W Salary_Structure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Audu Nimatu</cp:lastModifiedBy>
  <dcterms:created xsi:type="dcterms:W3CDTF">2025-09-04T13:23:00Z</dcterms:created>
  <dcterms:modified xsi:type="dcterms:W3CDTF">2026-01-19T15:32:30Z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20A327EE845C47C29A896D9D85BBD045_12</vt:lpwstr>
  </property>
  <property fmtid="{D5CDD505-2E9C-101B-9397-08002B2CF9AE}" pid="3" name="KSOProductBuildVer">
    <vt:lpwstr>1033-12.2.0.23196</vt:lpwstr>
  </property>
</Properties>
</file>